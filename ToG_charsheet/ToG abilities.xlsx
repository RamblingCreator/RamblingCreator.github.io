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uby\Documents\CS 102\RamblingCreator.github.io\ToG_charsheet\"/>
    </mc:Choice>
  </mc:AlternateContent>
  <xr:revisionPtr revIDLastSave="0" documentId="13_ncr:1_{956F0C22-F2FE-4A32-80C8-37FF9D6ABF77}" xr6:coauthVersionLast="47" xr6:coauthVersionMax="47" xr10:uidLastSave="{00000000-0000-0000-0000-000000000000}"/>
  <bookViews>
    <workbookView xWindow="-110" yWindow="-110" windowWidth="25820" windowHeight="16220" firstSheet="3" activeTab="5" xr2:uid="{2C4F0341-22BD-404B-B96F-8968BD6A2D44}"/>
  </bookViews>
  <sheets>
    <sheet name="Sheet1" sheetId="1" r:id="rId1"/>
    <sheet name="output" sheetId="2" r:id="rId2"/>
    <sheet name="Canine transformations" sheetId="5" r:id="rId3"/>
    <sheet name="Sheet2" sheetId="4" r:id="rId4"/>
    <sheet name="All equipment" sheetId="6" r:id="rId5"/>
    <sheet name="Premade equipment" sheetId="7" r:id="rId6"/>
  </sheets>
  <definedNames>
    <definedName name="_xlnm._FilterDatabase" localSheetId="4" hidden="1">'All equipment'!$A$1:$F$129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 l="1"/>
  <c r="B10" i="5"/>
  <c r="B11" i="5"/>
  <c r="B12" i="5"/>
  <c r="B13" i="5"/>
  <c r="B14" i="5"/>
  <c r="B15" i="5"/>
  <c r="B16" i="5"/>
  <c r="B3" i="5"/>
  <c r="B4" i="5"/>
  <c r="B5" i="5"/>
  <c r="B6" i="5"/>
  <c r="B7" i="5"/>
  <c r="B8" i="5"/>
  <c r="B2" i="5"/>
  <c r="B109"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18" i="1"/>
  <c r="F117" i="1"/>
  <c r="F113" i="1"/>
  <c r="F112" i="1"/>
  <c r="F110"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0" i="1"/>
  <c r="F79" i="1"/>
  <c r="F78" i="1"/>
  <c r="F77" i="1"/>
  <c r="F76" i="1"/>
  <c r="F75" i="1"/>
  <c r="F74" i="1"/>
  <c r="F73" i="1"/>
  <c r="F72" i="1"/>
  <c r="F71" i="1"/>
  <c r="F70" i="1"/>
  <c r="F69" i="1"/>
  <c r="F68" i="1"/>
  <c r="F67" i="1"/>
  <c r="F66" i="1"/>
  <c r="F65" i="1"/>
  <c r="F64" i="1"/>
  <c r="I64" i="1" s="1"/>
  <c r="F63" i="1"/>
  <c r="F62" i="1"/>
  <c r="F61" i="1"/>
  <c r="F60" i="1"/>
  <c r="F59" i="1"/>
  <c r="F58" i="1"/>
  <c r="F57" i="1"/>
  <c r="F56" i="1"/>
  <c r="F55" i="1"/>
  <c r="F54" i="1"/>
  <c r="F53" i="1"/>
  <c r="F52" i="1"/>
  <c r="F51" i="1"/>
  <c r="F50" i="1"/>
  <c r="F49" i="1"/>
  <c r="F48" i="1"/>
  <c r="F47" i="1"/>
  <c r="I47" i="1" s="1"/>
  <c r="F46" i="1"/>
  <c r="I46" i="1" s="1"/>
  <c r="F45" i="1"/>
  <c r="I45" i="1" s="1"/>
  <c r="I68"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16"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3" i="1"/>
  <c r="B4" i="1"/>
  <c r="B5" i="1"/>
  <c r="B6" i="1"/>
  <c r="B7" i="1"/>
  <c r="B8" i="1"/>
  <c r="B9" i="1"/>
  <c r="B10" i="1"/>
  <c r="B11" i="1"/>
  <c r="B12" i="1"/>
  <c r="B13" i="1"/>
  <c r="B14" i="1"/>
  <c r="B15" i="1"/>
  <c r="B50" i="1"/>
  <c r="B51" i="1"/>
  <c r="B52" i="1"/>
  <c r="B53" i="1"/>
  <c r="B54" i="1"/>
  <c r="B55" i="1"/>
  <c r="B56" i="1"/>
  <c r="B57" i="1"/>
  <c r="B58" i="1"/>
  <c r="B59" i="1"/>
  <c r="B60" i="1"/>
  <c r="B61" i="1"/>
  <c r="B62" i="1"/>
  <c r="B63" i="1"/>
  <c r="B163" i="1"/>
  <c r="B164" i="1"/>
  <c r="B165" i="1"/>
  <c r="B166" i="1"/>
  <c r="B167" i="1"/>
  <c r="B168" i="1"/>
  <c r="B169" i="1"/>
  <c r="B170" i="1"/>
  <c r="B171" i="1"/>
  <c r="B172" i="1"/>
  <c r="B173" i="1"/>
  <c r="B2" i="1"/>
</calcChain>
</file>

<file path=xl/sharedStrings.xml><?xml version="1.0" encoding="utf-8"?>
<sst xmlns="http://schemas.openxmlformats.org/spreadsheetml/2006/main" count="1703" uniqueCount="872">
  <si>
    <t>description</t>
  </si>
  <si>
    <t>type</t>
  </si>
  <si>
    <t>any</t>
  </si>
  <si>
    <t>Beads</t>
  </si>
  <si>
    <t>name</t>
  </si>
  <si>
    <t>source</t>
  </si>
  <si>
    <t>Flight</t>
  </si>
  <si>
    <t>Shinsu Reinforcement [Extended]</t>
  </si>
  <si>
    <t>Superhuman Speed</t>
  </si>
  <si>
    <t>Superhuman Strength</t>
  </si>
  <si>
    <t>Give it Everything</t>
  </si>
  <si>
    <t>Long Life</t>
  </si>
  <si>
    <t>Compression</t>
  </si>
  <si>
    <t>Up Close and Personal</t>
  </si>
  <si>
    <t>Heal</t>
  </si>
  <si>
    <t>Dual Training</t>
  </si>
  <si>
    <t>Many-Weapon Training</t>
  </si>
  <si>
    <t>Titan's Grip</t>
  </si>
  <si>
    <t>Sharp as Broken Glass</t>
  </si>
  <si>
    <t>Called Shot</t>
  </si>
  <si>
    <t>Before you make a Brawl roll, Throw roll, or roll with the Shot ability (or any other ability that seems applicable), you can reduce your total dice by some amount to target a specific part of your enemy or their person. The penalty amount increases with the target's Tier. If you hit, you resolve the roll as normal and may also cause your enemy to suffer an additional effect. If you're using Rapid Shot, Shot, or another ability that allows you to make multiple attacks on separate targets, you can use these attacks to target multiple parts of the same enemy. \nArm: -(Tier) dice. The enemy is Hindered on Brawl rolls with that arm for the next two rounds. \nChest: -(Tier) dice. The enemy is Hindered on Agility rolls for the next two rounds. \nEye: -(5*Tier) dice. The enemy is Blinded for the next two rounds. \nHand: -(3*Tier) dice. The enemy is disarmed and is Hindered on Brawl rolls with that hand for the next two rounds. \nHead: -(3*Tier) dice. The enemy is Hindered on Wits rolls for the next two rounds. \nHeart: -(5*Tier) dice. The enemy takes additional Unresisted Injuries equal to their Might Edge. If your attack would leave them Fragile or worse, they die. \nLeg: -(Tier) dice. The enemy is Slowed for the next round unless they are flying. \nNeck: -(5*Tier) dice. The enemy can't speak for the next two rounds. If your attack would cause them to take at least as many Injuries as half their Might (after applying Resistance and other reductions), they die. \nVitals: -(3*Tier) dice. The enemy is Hindered on all rolls for the next round. \nArmor/Shield: -(Tier) dice. The enemy can't attempt to block this attack. \nWeapon: -(2*Tier) dice. The enemy can attempt to block this, but must choose another item to take the attack instead.</t>
  </si>
  <si>
    <t>You can “swim” through the shinsu, effectively flying. You can only do this when your Heart is greater than one-fifth the current floor. You need to use a bead to begin using this ability, but not to continue using it. While flying in this way, you are Hindered on Brawl and Move rolls.</t>
  </si>
  <si>
    <t>You can use one bead and, for two rounds, act as though your Agility and Might were increased by an amount equal to your Heart. Using this requires an action. The bonus increases those attributes for all purposes, including bonus dice, automatic successes, Edges, and your maximum Injuries and Fatigue. By accepting Stress, you can increase the duration by one round per Stress. You can accept Stress to extend the duration on other rounds, not just the first; doing so does not require an action. Additionally, you can accept one Stress (per round) to instead act as though your Agility and Might were increased by twice your Heart instead. By using one additional bead (but without accepting any additional Stress), you can additionally reinforce one object you're holding to let it function as a weapon. This lasts for up to one round after you let go of it or until the entire effect ends, whichever comes first. While you're reinforcing the object, it has Structure and Toughness equal to half your Heart and acts as an appropriate weapon for all purposes (discuss with your GM what weapon would be appropriate).</t>
  </si>
  <si>
    <t>While you're boosted by Shinsu Reinforcement, you can accept an amount of Fatigue equal to twice your Agility Edge to take two actions in the same round. In order to buy this ability, your Agility must be at least 50.</t>
  </si>
  <si>
    <t>While you're boosted by Shinsu Reinforcement, you can accept a number of Injuries equal to twice your Might Edge to perform a feat of strength. Until the end of your turn, you make any Might-based rolls with three times as many dice. In order to buy this ability, your Might must be at least 50.</t>
  </si>
  <si>
    <t>Once per week, you can accept one Exhaustion to briefly ignore your wounds. For the next thirty seconds (three rounds of combat), you cannot die by any means. Additionally, during that time being Weakened or Anxious does not Hinder your rolls and exceeding your limits on any type of Harm does not cause you to faint, collapse, break down, or die. After the round is over, you experience all the normal consequences of having Exhaustion, as well as any other Harm you may have accumulated.</t>
  </si>
  <si>
    <t>Exposure to shinsu and the conditions in which you've trained have kept you from aging. You cannot take this ability unless you have an attribute that's at least 50.</t>
  </si>
  <si>
    <t>Either by making a contract with the Administrator, or by using your own power, you can reduce your size or the size of your possessions. This is generally used when you or your weapons are too big to fit in most structures. Compressing yourself or an item requires a minute of concentration. Reversing this does not take an action. If applied to an object, anyone can reverse the effect, even without this ability. While compressed, you are Hindered on all Might rolls. Compressing a crocodile causes them to lose the Big ability while compressed. This ability uses shinsu.</t>
  </si>
  <si>
    <t>When you buy this ability, you can get any one of the following abilities at no extra cost:\nDisarm (Fisherman), Counterattack (Fisherman), Flurry (Fisherman), Support Fighter (Scout), or Opening (Scout). You can only buy this ability twice.</t>
  </si>
  <si>
    <t>You can use any number of beads to repair a person's body. Each bead heals them of Injuries equal to your Heart Edge, or Fatigue equal to half your Heart Edge (rounded down). This requires ten seconds (one round of combat) per bead, but does not require an action. If you have the Magnify ability, you can increase the effectiveness of each round of healing—by using three beads, you can apply the healing benefits of two of them in one round. The additional bead cost increases linearly; tripling the effective healing speed requires five beads total, quadrupling requires seven beads total, etc. For the math nerds, the cost of healing with speed X is equal to 2X-1.</t>
  </si>
  <si>
    <t>When you're wielding two or more weapons at once, add a number of dice equal to your Might Edge or Agility Edge to all attack rolls. This applies before calculating the effects of Hindered.</t>
  </si>
  <si>
    <t>When you're wielding more than two weapons at once, your attacks are Hindered and Impaired equal to the total number of attacks, instead of the normal penalty. You must have Dual Training to get this ability.</t>
  </si>
  <si>
    <t>You can wield a two-handed weapon in one hand without penalties, as though it was a one-handed weapon.</t>
  </si>
  <si>
    <t>When your mind broke, the edges were left sharper. Increase your Edges by the number of Traumas you have. \nIt's not a good idea to refer to any traumatized person as broken. If you feel like you're broken, please find a therapist.</t>
  </si>
  <si>
    <t>Disarm</t>
  </si>
  <si>
    <t>Bruiser</t>
  </si>
  <si>
    <t>Damage Sponge</t>
  </si>
  <si>
    <t>Reel</t>
  </si>
  <si>
    <t>Defender</t>
  </si>
  <si>
    <t>Unmoving</t>
  </si>
  <si>
    <t>Counterattack</t>
  </si>
  <si>
    <t>Reserves of Strength</t>
  </si>
  <si>
    <t>Flourish</t>
  </si>
  <si>
    <t>Challenger</t>
  </si>
  <si>
    <t>Living Wall</t>
  </si>
  <si>
    <t>Bloodied Berserker</t>
  </si>
  <si>
    <t>Flurry</t>
  </si>
  <si>
    <t>Add a number of dice equal to your Might Edge to your Brawl rolls.</t>
  </si>
  <si>
    <t>You can accept one Stress and one Confusion to heal yourself of a number of Injuries equal to your Might Edge. You cannot use this while Dying. You can only use this once per turn.</t>
  </si>
  <si>
    <t>You can use a reel, a length of cord or cable that attaches to one end of your weapon. By using shinsu to stiffen or manipulate the line, you can control the weapon almost like you were holding it. While using a reel, you can use Brawl (and any associated stunts) at range, though you are Hindered on these rolls. The Reel has a maximum range of Medium.</t>
  </si>
  <si>
    <t>By taking two Confusion and Stress per round, you can ignore the effects of the Weakened and Fragile conditions.</t>
  </si>
  <si>
    <t>Your stylish attacks inspire your allies. You can take one Confusion to treat a Brawl attack as though it was a Reach Out roll that gets half as many successes. It still counts as a Brawl roll for attacking an enemy.</t>
  </si>
  <si>
    <t>Whenever an enemy attempts to move past you and passes through your melee range, you can take two Fatigue and make an attack against them. If you hit, they must immediately end their movement. You cannot apply the effects of Weapon Skills, Sunder, Opening, Flurry, dual wielding, or Called Shot to this attack.</t>
  </si>
  <si>
    <t>When making a Brawl roll, add half the number of Injuries you currently have to your Might for the purposes of determining the number of dice you roll and the damage you deal.</t>
  </si>
  <si>
    <t>If you hit with a melee attack, you can accept two Injuries to immediately make another attack, which is Impaired 2 and has -1 automatic success. You can keep this up as long as you keep hitting and taking Harm. The penalties stack for each attack.</t>
  </si>
  <si>
    <t>In order to buy this ability, either your Might or Resistance must be at least 50. When you make a Brawl roll, reroll all 1s. You may reroll them as many times as necessary to stop rolling 1s.</t>
  </si>
  <si>
    <t>position</t>
  </si>
  <si>
    <t>Overwhelming Force</t>
  </si>
  <si>
    <t>Brains</t>
  </si>
  <si>
    <t>Smooth Talker</t>
  </si>
  <si>
    <t>Calculator</t>
  </si>
  <si>
    <t>Lighthouse Flow Control</t>
  </si>
  <si>
    <t>Emerald Sword</t>
  </si>
  <si>
    <t>Lighthouse Teleportation</t>
  </si>
  <si>
    <t>Instant Teleport</t>
  </si>
  <si>
    <t>Steer</t>
  </si>
  <si>
    <t>Hack</t>
  </si>
  <si>
    <t>Unparalleled Insight</t>
  </si>
  <si>
    <t>Light Wall</t>
  </si>
  <si>
    <t>Mystery Sphere</t>
  </si>
  <si>
    <t>Masterful Plan</t>
  </si>
  <si>
    <t>Overwhelming Mind</t>
  </si>
  <si>
    <t>Add your Wits Edge to your Think rolls.</t>
  </si>
  <si>
    <t>Add your Wits Edge to your Manipulate rolls.</t>
  </si>
  <si>
    <t>Your Lighthouses can add half their dice bonus (rounded down, minimum 1 per Lighthouse) on any of your Think rolls.</t>
  </si>
  <si>
    <t>You use the Lighthouse to gather shinsu around a melee weapon, boosting its power. Roll Think and add as many successes as you roll to the next attack with that weapon. For each round that passes between using this ability and making the attack, the number of successes decreases by one (minimum 0). This ability does not stack with any other uses of Emerald Sword; only the use that would grant the most successes remains. Using this ability requires your action. This ability uses shinsu.</t>
  </si>
  <si>
    <t>You can accept one Confusion to teleport up to one person (or a similar mass of objects) between two Lighthouses you control. This requires an action. The person must be close enough to touch the Lighthouse. If the person does not want to be teleported, you make a Think roll against their Resistance and accept two additional Confusion. This ability uses shinsu.</t>
  </si>
  <si>
    <t>When something goes in an unexpected direction, you can declare that all is going according to plan and flashback to earlier, when you prepared for this by (for example) laying traps, gathering supplies, or in any other way preparing for your current situation.  In order to use this, you accept an amount of Confusion equal to twice your Wits Edge.</t>
  </si>
  <si>
    <t>In order to buy this ability, either your Wits or Heart must be at least 50. When you make a Think roll, reroll all 1s. You may reroll them as many times as necessary to stop rolling 1s.</t>
  </si>
  <si>
    <t>wavecontroller</t>
  </si>
  <si>
    <t>Advanced Observer</t>
  </si>
  <si>
    <t>Black Fish [Extended]</t>
  </si>
  <si>
    <t>Sneaky</t>
  </si>
  <si>
    <t>Speedy</t>
  </si>
  <si>
    <t>Support Fighter</t>
  </si>
  <si>
    <t>Opening</t>
  </si>
  <si>
    <t>Feather Foot</t>
  </si>
  <si>
    <t>Spider Foot</t>
  </si>
  <si>
    <t>On Guard</t>
  </si>
  <si>
    <t>Flow Like Water</t>
  </si>
  <si>
    <t>Sneak Attack</t>
  </si>
  <si>
    <t>Fall Silently</t>
  </si>
  <si>
    <t>Track</t>
  </si>
  <si>
    <t>Overwhelming Speed</t>
  </si>
  <si>
    <t>Stabber</t>
  </si>
  <si>
    <t>Strong Arms</t>
  </si>
  <si>
    <t>Rapid Shot</t>
  </si>
  <si>
    <t>Critical Shot</t>
  </si>
  <si>
    <t>Aim</t>
  </si>
  <si>
    <t>Get Over Here</t>
  </si>
  <si>
    <t>Get Over There</t>
  </si>
  <si>
    <t>Sight Without Eyes</t>
  </si>
  <si>
    <t>Disabling Shot</t>
  </si>
  <si>
    <t>Delayed Shot</t>
  </si>
  <si>
    <t>Bending Spear Technique</t>
  </si>
  <si>
    <t>Focused Shot</t>
  </si>
  <si>
    <t>Sniper</t>
  </si>
  <si>
    <t>Overwhelming Accuracy</t>
  </si>
  <si>
    <t>Precision</t>
  </si>
  <si>
    <t>Shinsu Wall [Extended]</t>
  </si>
  <si>
    <t>Quick Shield [Extended]</t>
  </si>
  <si>
    <t>Quick Weapon [Extended]</t>
  </si>
  <si>
    <t>Flare Wave Explosion</t>
  </si>
  <si>
    <t>Reverse Flow Control [Extended]</t>
  </si>
  <si>
    <t>Shot</t>
  </si>
  <si>
    <t>Magnify</t>
  </si>
  <si>
    <t>Dispel</t>
  </si>
  <si>
    <t>All-Encompassing Sight</t>
  </si>
  <si>
    <t>Concussive Blast</t>
  </si>
  <si>
    <t>Territory</t>
  </si>
  <si>
    <t>Essence Drain</t>
  </si>
  <si>
    <t>Overwhelming Control</t>
  </si>
  <si>
    <t>Add your Agility Edge to your Finesse rolls.</t>
  </si>
  <si>
    <t>Add your Agility Edge to your Move rolls.</t>
  </si>
  <si>
    <t>You can use Agility for Brawl rolls. Damage is still based on your Might Edge.</t>
  </si>
  <si>
    <t>By taking one Fatigue per round, you can stand, run, and otherwise move on liquid surfaces.</t>
  </si>
  <si>
    <t>By taking two Fatigue per round, you can stand, run, and otherwise move on vertical surfaces or while upside down. You need to have Feather Foot before getting this ability.</t>
  </si>
  <si>
    <t>When you roll to dodge an attack from an enemy with a lower Agility than your own, you do not take a penalty on later rolls to dodge.</t>
  </si>
  <si>
    <t>You can look around a space and identify traces of past events. Roll Think; the number of successes you get is equal to the maximum number of hours passed since those events. If you take 5 Confusion, the number of successes you get is instead equal to the maximum number of days since those events. If someone is deliberately attempting to conceal or falsify their tracks, they roll Finesse and subtract their successes from yours.</t>
  </si>
  <si>
    <t>In order to buy this ability, either your Agility or Wits must be at least 50. When you make a Move roll, reroll all 1s. You may reroll them as many times as necessary to stop rolling 1s.</t>
  </si>
  <si>
    <t>When using a spear or ranged weapon in melee, you increase your Brawl by an amount of dice equal to either your Agility Edge or Might Edge. Regardless of which one you choose, you still deal damage according to your Might.</t>
  </si>
  <si>
    <t>You can use Might for Throw instead of Agility.</t>
  </si>
  <si>
    <t>As an action, you can roll Throw and divide your successes between any number of targets. You accept one Fatigue per attack you make with this ability.</t>
  </si>
  <si>
    <t>As an action, you can make a single ranged attack that deals double damage. When you use this, you accept an amount of Fatigue equal to your Agility Edge.</t>
  </si>
  <si>
    <t>As an action, you can take careful aim. Your next Throw roll before the end of your next turn is made with twice as many dice as normal. This does not double any automatic successes you might have. If an effect would make you Hindered on a Throw roll, this negates that Hindered effect instead.</t>
  </si>
  <si>
    <t>With a lucky throw, you can snag your target and pull them towards you. If you have a reel and a weapon with projectiles at least the size of an arrow, you can attach the reel to a projectile and fire it at an enemy. This is a normal Throw attack with no other modifiers, but cannot be used with Rapid Shot, Bending Spear Technique, or Called Shot. You can then use stunts to pull the target closer to you; four stunts to move them one range increment, twelve stunts to move them two increments, twenty-eight stunts to move them three increments, or sixty stunts to move them four increments.</t>
  </si>
  <si>
    <t>You can accept an amount of Confusion equal to your Wits Edge to ignore the Blinded Condition for a single ranged attack.</t>
  </si>
  <si>
    <t>You can set up a reel and a ranged weapon as a trap. When setting this up, roll an attack with the weapon, roll Think, and name a circumstance that will set off the attack. If someone else wants to find a trap afterwards, they have to roll Think against your initial Think roll. You automatically find any trap that you previously set. You cannot use Critical Shot, Aim, Bending Spear Technique, Lightning Strike, or any other ability that would cause you to accept Harm or use beads as part of the attack. The trap is immune to all conditions. The maximum number of traps you can have set up at once is equal to your Wits Edge.</t>
  </si>
  <si>
    <t>When making a Throw attack, you can increase your Might Edge by half of your Wits Edge for the purposes of dealing damage.</t>
  </si>
  <si>
    <t>You can choose to treat the range increment of any ranged weapon you use as though it was one step higher—Close to Short, etc.</t>
  </si>
  <si>
    <t>In order to buy this ability, either your Might or Agility must be at least 50. When you make a Throw roll, reroll all 1s. You may reroll them as many times as necessary to stop rolling 1s.</t>
  </si>
  <si>
    <t>Add your Heart Edge to your Attune rolls.</t>
  </si>
  <si>
    <t>Touch an enemy (requiring a Brawl or Move roll) and roll Attune (using a bead) against their Resistance to deal Unresisted Injuries equal to your Heart Edge per success. You can simultaneously use an additional bead (and roll Attune again, though you are Hindered this time) to avoid taking the same damage. You can use this entire ability with one action. You only need one success (not counting automatic successes) on the second Attune roll.</t>
  </si>
  <si>
    <t>Using an action, you can detect anyone within Short range who is capable of using shinsu, as well as their approximate direction. You can always tell when shinsu is being manipulated. You can even approximately tell where. You still need to roll to know what exactly is happening.</t>
  </si>
  <si>
    <t>By taking time to circulate your shinsu around the area, you can designate that area as your territory. While taking time in this way, you cannot use shinsu for any other purpose, nor can you engage in any activities that require concentration. The area remains your territory until you leave it and remain outside for at least as long as you took originally (i.e. if you took ten minutes to declare it your territory, it takes ten minutes to stop being your territory once you leave). Within that area, you gain bonus dice that apply to all Attune rolls, as well as Move, Finesse, Throw, and Brawl rolls while under the effects of Shinsu Reinforcement. The number of bonus dice, as well as the size of the area, are determined by the amount of time you take.\nOne minute: Within your reach. +1 die\nTen minutes: Close range. +5 dice\nOne hour: Short range. +10 dice\nOne day: Medium range. +25 dice\nOne month: Long range. +50 dice\nOne year: The entire floor. +100 dice</t>
  </si>
  <si>
    <t>Touch an enemy (requiring a Brawl or Move roll) and roll Attune (using a bead) against their Resistance to transfer up to two Stress per success from you to them. You cannot use more successes than you used beads. You cannot give them more Stress than you currently have. This requires an action.</t>
  </si>
  <si>
    <t>In order to buy this ability, either your Heart or Agility must be at least 50. When you make an Attune roll, reroll all 1s. You may reroll them as many times as necessary to stop rolling 1s.</t>
  </si>
  <si>
    <t>lightbearer</t>
  </si>
  <si>
    <t>scout</t>
  </si>
  <si>
    <t>spearbearer</t>
  </si>
  <si>
    <t>fisherman</t>
  </si>
  <si>
    <t>Sink or Swim</t>
  </si>
  <si>
    <t>The Path Forward</t>
  </si>
  <si>
    <t>Pathfinder</t>
  </si>
  <si>
    <t>Support of Your People</t>
  </si>
  <si>
    <t>Jury-Rig</t>
  </si>
  <si>
    <t>Where Fate Leads</t>
  </si>
  <si>
    <t>Guide</t>
  </si>
  <si>
    <t>Gifts</t>
  </si>
  <si>
    <t>Nepotism</t>
  </si>
  <si>
    <t>Allowance</t>
  </si>
  <si>
    <t>Frowned Upon</t>
  </si>
  <si>
    <t>Bloodline</t>
  </si>
  <si>
    <t>Making the Family Proud</t>
  </si>
  <si>
    <t>Wealth</t>
  </si>
  <si>
    <t>Royal Blood</t>
  </si>
  <si>
    <t>Competition</t>
  </si>
  <si>
    <t>Rich</t>
  </si>
  <si>
    <t>Watch Your Back</t>
  </si>
  <si>
    <t>Learn by Doing</t>
  </si>
  <si>
    <t>Shake the Foundations of the Tower</t>
  </si>
  <si>
    <t>Rapid Growth</t>
  </si>
  <si>
    <t>Surprisingly Durable</t>
  </si>
  <si>
    <t>Enter Alone</t>
  </si>
  <si>
    <t>Starting Small</t>
  </si>
  <si>
    <t>Natural Control</t>
  </si>
  <si>
    <t>Whenever you go up a floor, you gain experience equal to half the floor (round down).</t>
  </si>
  <si>
    <t>Start with 5,000 credits.</t>
  </si>
  <si>
    <t>You increase your Might and Resistance scores by 3. When you spend experience to increase either of these attributes, you increase that attribute by your Tier plus one.</t>
  </si>
  <si>
    <t>You have claws. If you choose to use them, your Brawl attacks have their initial Damage Base increased by 1.These do not count as weapons.</t>
  </si>
  <si>
    <t>Each time you fight a single opponent (i.e. fighting multiple at one time does not qualify), you gain experience equal to half their highest attribute (rounded down). This only applies once per person per month.</t>
  </si>
  <si>
    <t>Start with 2,000 credits.</t>
  </si>
  <si>
    <t>You increase your Might, Resistance, and Agility scores by 2. When you spend experience to increase any of these attributes, you increase that attribute by your Tier plus one.</t>
  </si>
  <si>
    <t>Any attempt to influence or control your mental state to any degree automatically succeeds.</t>
  </si>
  <si>
    <t>When facing a decision of some sort, you can accept an amount of Confusion equal to your Wits Edge to roll Think and ask one question for every two successes.\n Which way is safest?\n Which way is fastest?\n What challenges lie in this direction?\n Any similar question about the immediate future.</t>
  </si>
  <si>
    <t>Whenever you help someone find the correct path or help them with their journey, gain experience equal to their highest attribute minus the greatest type of Harm they currently have (minimum 1). This can only apply once per person per floor.</t>
  </si>
  <si>
    <t>Start with 10,000 credits.</t>
  </si>
  <si>
    <t>You can accept an amount of Stress equal to half your Heart (rounded up) to roll Attune and ask one question for every two successes.\n What should I do to achieve my goal?\n How can I get to my destination?\n How dangerous is this path?\n Any similar question about the future.</t>
  </si>
  <si>
    <t>Whenever you guide someone where they need to go, and whenever a Regular changes their Dream because of you (directly or indirectly), gain experience equal to the total number of Harms they have. Calculate this after the Regular takes the Exhaustion for changing their Dream. Whenever someone takes Exhaustion or Trauma, or enters Weakened, Fragile, Anxious, or Volatile status because of advice or help you gave, gain experience equal to the Harms they have.</t>
  </si>
  <si>
    <t>You start off with up to two D-rank items, or any one C-rank item.</t>
  </si>
  <si>
    <t>You can purchase a unique ability, depending on your family. When you make your character, choose a family to belong to. You gain their name and are allowed to purchase their ability.</t>
  </si>
  <si>
    <t>Each family has an associated shinsu quality. If you ever gain the Shinsu Quality universal ability, any quality except the one associated with your family costs twice as much experience.</t>
  </si>
  <si>
    <t>The family you choose has an experience trigger. You gain that ability for free.</t>
  </si>
  <si>
    <t>Start with 20,000 credits.</t>
  </si>
  <si>
    <t>Increase all of your attributes by three. Whenever you spend experience to increase one of your attributes, you increase that attribute by your Tier plus one. Start at Tier 2. You reach Tier 3 at the same time as the other races—after spending 5,000 experience.</t>
  </si>
  <si>
    <t>Start with 50,000 credits.</t>
  </si>
  <si>
    <t>When you are hit by a shinsu attack, you can choose to treat the damage from that as Unresisted and gain experience equal to the Harm you take.</t>
  </si>
  <si>
    <t>Whenever you shake the status quo, you gain experience:\n Equal to the current floor for a tiny or temporary change.\n Equal to twice the current floor for a significant and long-lasting change.\n Equal to three times the current floor for a total upheaval.</t>
  </si>
  <si>
    <t>Increasing to Tier 2 happens at 250 experience instead of 500. Increasing to each further Tier multiplies the required total experience by 5 instead of by 10; 1,250 and 6,250 instead of 5,000 and 50,000.</t>
  </si>
  <si>
    <t>At the beginning of the game, set your Resistance to 10.</t>
  </si>
  <si>
    <t>Start with no money.</t>
  </si>
  <si>
    <t>During character creation, you do not receive free points to increase your attributes.</t>
  </si>
  <si>
    <t>human</t>
  </si>
  <si>
    <t>crocodile</t>
  </si>
  <si>
    <t>canine</t>
  </si>
  <si>
    <t>silverdwarf</t>
  </si>
  <si>
    <t>redwitch</t>
  </si>
  <si>
    <t>noble</t>
  </si>
  <si>
    <t>heir</t>
  </si>
  <si>
    <t>irregular</t>
  </si>
  <si>
    <t>You increase all of your attributes by one.</t>
  </si>
  <si>
    <t>race</t>
  </si>
  <si>
    <t>family</t>
  </si>
  <si>
    <t>Cold-Hearted</t>
  </si>
  <si>
    <t>Crafter</t>
  </si>
  <si>
    <t>Strongest Body</t>
  </si>
  <si>
    <t>Capture</t>
  </si>
  <si>
    <t>Made of Granite</t>
  </si>
  <si>
    <t>Analysis</t>
  </si>
  <si>
    <t>Family Swordsmanship</t>
  </si>
  <si>
    <t>Shrouded in Flame</t>
  </si>
  <si>
    <t>Whenever you make a Wits-based roll, you automatically gain successes equal to your Wits Edge in addition to any you would gain from other sources. Whenever you make a Heart-based roll, you are Impaired by an amount equal to your Heart Edge.</t>
  </si>
  <si>
    <t>When you use Shinsu Reinforcement, you increase your Might and Agility by an amount equal to one and a half times your Heart (rounded down) instead of an amount equal to your Heart. While taking Stress to increase the bonus, you add three times your Heart instead of twice.</t>
  </si>
  <si>
    <t>When you first take this ability, double your Resistance. Anything that would increase your Resistance (including spending experience) increases it by twice as much.</t>
  </si>
  <si>
    <t>keene</t>
  </si>
  <si>
    <t>trumbald</t>
  </si>
  <si>
    <t>haas</t>
  </si>
  <si>
    <t>aven</t>
  </si>
  <si>
    <t>universal</t>
  </si>
  <si>
    <t>id</t>
  </si>
  <si>
    <t>yanetta</t>
  </si>
  <si>
    <t>Trained</t>
  </si>
  <si>
    <t>Climber</t>
  </si>
  <si>
    <t>Why We Keep Going</t>
  </si>
  <si>
    <t>Savings</t>
  </si>
  <si>
    <t>Adaptable</t>
  </si>
  <si>
    <t>Tough</t>
  </si>
  <si>
    <t>Big</t>
  </si>
  <si>
    <t>Sharp</t>
  </si>
  <si>
    <t>Live to Hunt</t>
  </si>
  <si>
    <t>Feral</t>
  </si>
  <si>
    <t>Born Fighter</t>
  </si>
  <si>
    <t>Implanted Weakness</t>
  </si>
  <si>
    <t>Not Down Yet</t>
  </si>
  <si>
    <t>Lighthouse</t>
  </si>
  <si>
    <t>Observer</t>
  </si>
  <si>
    <t>Thrower</t>
  </si>
  <si>
    <t>Weapon Skills (Hook)</t>
  </si>
  <si>
    <t>Weapon Skills (Needle)</t>
  </si>
  <si>
    <t>Weapon Skills (Blade)</t>
  </si>
  <si>
    <t>Weapon Skills (Bludgeon)</t>
  </si>
  <si>
    <t>Weapon Skills (Unarmed)</t>
  </si>
  <si>
    <t>While wielding a blade, you can hit additional enemies with the same roll. Each enemy has to be within your reach. You take two Fatigue for each enemy past the first attacked in this way.</t>
  </si>
  <si>
    <t>While wielding a blunt weapon, you can use Brawl stunts to knock an enemy down or back. Knocking an enemy down requires two stunts; that enemy is considered Slowed until the start of their turn. Knocking an enemy back requires two stunts to move them to Close range, six stunts to move them to Short range, fourteen stunts to move them to Medium range, and thirty stunts to move them to Long range. If they hit a solid barrier, or otherwise end their movement, they take 1d6 Injuries for every stunt used this way (e.g. moving them to Short range means they take 6d6 Injuries).</t>
  </si>
  <si>
    <t>Add either your Might Edge or your Agility Edge to your Throw rolls.</t>
  </si>
  <si>
    <t>Finesse</t>
  </si>
  <si>
    <t>Throw</t>
  </si>
  <si>
    <t>Move</t>
  </si>
  <si>
    <t>Attune</t>
  </si>
  <si>
    <t>Manipulate</t>
  </si>
  <si>
    <t>Think</t>
  </si>
  <si>
    <t>Brawl</t>
  </si>
  <si>
    <t>Flat Dice Roll</t>
  </si>
  <si>
    <t>Total Auto Successes</t>
  </si>
  <si>
    <t>Total Dice</t>
  </si>
  <si>
    <t>Might</t>
  </si>
  <si>
    <t>Agility</t>
  </si>
  <si>
    <t>Hearts</t>
  </si>
  <si>
    <t>ReachOut</t>
  </si>
  <si>
    <t>Wits</t>
  </si>
  <si>
    <t>Resistance</t>
  </si>
  <si>
    <t>Threaten(Might)</t>
  </si>
  <si>
    <t>Threaten(Wits)</t>
  </si>
  <si>
    <t>Overwhelm</t>
  </si>
  <si>
    <t>Lightning Strike</t>
  </si>
  <si>
    <t>Chain Lightning</t>
  </si>
  <si>
    <t>Bolt Rider</t>
  </si>
  <si>
    <t>Whirlwind [Extended]</t>
  </si>
  <si>
    <t>Gust</t>
  </si>
  <si>
    <t>Still and Stir the Air</t>
  </si>
  <si>
    <t>Ice Rink</t>
  </si>
  <si>
    <t>Polar Midnight</t>
  </si>
  <si>
    <t>Frozen Grapeshot</t>
  </si>
  <si>
    <t>Inferno [Extended]</t>
  </si>
  <si>
    <t>Fireball</t>
  </si>
  <si>
    <t>Flare [Extended]</t>
  </si>
  <si>
    <t>Stone Skin</t>
  </si>
  <si>
    <t>Toughness</t>
  </si>
  <si>
    <t>Closed Mind</t>
  </si>
  <si>
    <t>Crashing Wave</t>
  </si>
  <si>
    <t>Maelstrom [Extended]</t>
  </si>
  <si>
    <t>Purify Body</t>
  </si>
  <si>
    <t>Placeholder</t>
  </si>
  <si>
    <t>Armed and Ready</t>
  </si>
  <si>
    <t>Armor Storm</t>
  </si>
  <si>
    <t>Shinsu Quality (Lightning)</t>
  </si>
  <si>
    <t>Shinsu Quality (Wind)</t>
  </si>
  <si>
    <t>Shinsu Quality (Ice)</t>
  </si>
  <si>
    <t>Shinsu Quality (Fire)</t>
  </si>
  <si>
    <t>Shinsu Quality (Rock)</t>
  </si>
  <si>
    <t>Shinsu Quality (Water)</t>
  </si>
  <si>
    <t>Shinsu Quality (Steel)</t>
  </si>
  <si>
    <t>If you deal any amount of Harm to a Lighthouse, Observer, or other electrical device (GM has the final say on what counts), it overloads and stops functioning for the next round.</t>
  </si>
  <si>
    <t>You can use one or more beads to target a point within Short range; a number of enemies within Close range less than or equal to twice the number of beads used take Injuries equal to half your Heart minus half their Resistance.</t>
  </si>
  <si>
    <t>You can use a bead and take two Stress and Fatigue to move to any location you could reach in a straight line without hitting any solid objects. This uses either your movement or your action. You cannot use this more than once per round. Any attempts to sneak while using this are Hindered.</t>
  </si>
  <si>
    <t>You can use any number of beads to create a gust of wind. The wind is a line as wide as you that extends until it hits a large, solid object (to a maximum range of Short). Creatures that are hit by the gust take one Injury and one Fatigue for every three beads you use (reduced by their Resistance Edge, minimum one), and are Impaired by a number equal to the number of beads you use on all rolls for the next round.</t>
  </si>
  <si>
    <t>You can use a bead to manipulate the air currents around you within Short range. Depending on what you wish, you can amplify sounds and scents, or instead negate them.</t>
  </si>
  <si>
    <t>Any of your abilities that would slow enemies instead pin them for the first round and slow them for the rest of the duration.</t>
  </si>
  <si>
    <t>You can use any number of beads to create a circular ice rink on the ground around you in Short range. It lasts for one round. While touching the ground, anyone who does not have the ice shinsu quality is Impaired on Move and Brawl rolls by a number equal to the number of beads you used and takes Fatigue equal to the number of beads you used minus their Resistance Edge at the start of each of their turns. This takes your action.</t>
  </si>
  <si>
    <t>You can use an action and a bead to fire off a blast of razor-sharp shards of ice. Enemies in a cone within Close range take Injuries and Fatigue equal to twice your Heart Edge. Creatures in the area can attempt to dodge this, rolling against your Attune (if more than one creature is dodging, roll Attune once and compare that to all dodge rolls). If they successfully dodge, they instead take Injuries and Fatigue equal to your Heart Edge. Regardless, they reduce both types of incoming Harm by their Resistance Edge (minimum 1).</t>
  </si>
  <si>
    <t>You can use any number of beads to create a small ball of fire that flies towards an area and explodes. It travels in a straight line and explodes when it hits any solid barrier or when it reaches its maximum range. Its maximum range is Medium. When it explodes, it deals two Injuries per bead to all creatures within Close range of it. The creatures can attempt to dodge this, rolling against your Attune (if more than one creature is dodging, roll Attune once and compare that to all dodge rolls). If they successfully dodge, they instead take one Injury per bead. The damage in both cases is reduced by their Resistance Edge (minimum one). This takes your action.</t>
  </si>
  <si>
    <t>By taking one Stress per round (in addition to any other sources of Stress), Shinsu Reinforcement increases your Resistance by half of your Heart.</t>
  </si>
  <si>
    <t>Attacks that target you have a minimum Damage Base of 0.</t>
  </si>
  <si>
    <t>As long as you would get at least one automatic success on a roll, you get additional automatic successes on that roll equal to your Tier. If you would not, you instead get bonus dice on that roll equal to your Tier. If this is dispelled, it returns at the end of your next turn.</t>
  </si>
  <si>
    <t>Whenever you would be affected by the Heal ability, or whenever you would use the Heal ability on another (including through wands), you heal 50% more (rounded up).</t>
  </si>
  <si>
    <t>While wielding a weapon, you get +2 dice on Brawl rolls and take 2 fewer Injuries, Fatigue, Confusion, and Stress from all sources (to a minimum of 0). This does apply to Unresisted Harm. This does not apply to Harm you willingly accept as part of an ability. Apply this after calculating total damage from the source; do not apply this to the Damage Base. If this is dispelled, it returns at the end of your next turn.</t>
  </si>
  <si>
    <t>nothing</t>
  </si>
  <si>
    <t>false</t>
  </si>
  <si>
    <t>true</t>
  </si>
  <si>
    <t>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to:\n Ignore the limit on beads controlled for one Stress per round per bead.\n Create beads on somebody else's turn, at the cost of two Stress per bead. If you accept three additional Stress per bead, you can then use a single ability that uses beads and would normally require your action.</t>
  </si>
  <si>
    <t>You can use two beads and accept Stress and Confusion equal to your Heart Edge and Wits Edge, respectively, to throw a spear made of lightning. You don't need a physical spear to make this attack. You can't use this attack with the abilities Called Shot, Rapid Shot, Impale, Critical Shot, or Disabling Shot. You can't use stunts with this attack except to deal additional Harm. All Harm caused by this attack is Unresisted. Attempts to dodge this attack are Hindered.</t>
  </si>
  <si>
    <t>You do not need to use a bead to use the Flight ability, and using it doesn't require an action. Flight still uses shinsu. Additionally, you are not Hindered on Brawl or Move rolls while airborne.</t>
  </si>
  <si>
    <t>You can use any number of beads to create a whirling wall of air around you that deflects almost any projectile. Whenever you're being targeted by a ranged attack, you can roll against it. You make this roll with as many dice as twice the number of beads you used. This lasts until the end of your next turn, and requires an action.</t>
  </si>
  <si>
    <t>Cool the area within Close range. This takes an action. All water freezes, everyone who isn't you takes three times your Heart Edge in Fatigue (reduced by their Resistance Edge), and all metallic objects become too cold to safely touch without protection. Anyone holding one takes Unresisted Injuries equal to three times your Heart Edge unless they drop the object.</t>
  </si>
  <si>
    <t>Whenever you would make an enemy take any number of Injuries, you also give them half that many Unresisted Injuries (rounded down) on their next turn. Calculate based on the post-mitigation Injuries. This does not apply to Injuries dealt by this ability. If you're underwater or in some other fire-resistant environment, this effect is negated (subject to GM interpretation).</t>
  </si>
  <si>
    <t>You can use any number of beads to create a massive ball of flames, melting or incinerating just about everything nearby. On your first turn while using this ability, you cause all enemies within Short range to take Injuries equal to the number of beads used. On your second turn, the damage increases to be equal to twice the number of beads used. This continues until you're dealing damage equal to your Heart Edge per bead. You have to use your action each turn that you use this. If you already have this ability in use, you can add beads to it without using an action, which increases the damage.</t>
  </si>
  <si>
    <t>You can use one or more beads to create a light in a location within Close range. That light brightly illuminates the surrounding area out to Close range. If the light covers at least Short range, it is especially bright in closer areas. Everything in the range increments below its illumination range is revealed. All rolls to hide or sneak within that area are Hindered. This has no effect on invisible things. For example, if the light illuminates everything up to Long range, it reveals things up to Medium range. It lasts until dispelled or until you want the bead(s) back. If you have the Magnify ability and double the bead cost, you can overcharge the light, creating a bright flash capable of blinding people inside the area. Anyone inside the light's total area who doesn't intentionally avert their eyes (you are assumed to do so) is Blinded for the next round. The duration of the Blinded effect can't be increased.</t>
  </si>
  <si>
    <t>Whenever someone makes a contested roll against one of your attributes, increase that attribute's Edge by half (rounded down). If this is dispelled, it returns at the end of your next turn.</t>
  </si>
  <si>
    <t>You know what you're here to do, and you don't get distracted easily. You reduce any Confusion that you would take by your Resistance Edge, similar to Fatigue. If this is dispelled, it returns at the end of your next turn.</t>
  </si>
  <si>
    <t>You can use one bead to shove an opponent around at range. You make an Attune roll and treat it as a Brawl roll. You need to be able to see your target. This has a maximum range of Medium. You don't get any bonuses that apply only to Brawl rolls or that apply only to weapon attacks. For this attack, your Damage Base is equal to half your Heart Edge (round up).</t>
  </si>
  <si>
    <t>You can use any number of beads to create a whirling tempest of water around you. This has a radius of Short, and all creatures in the area (except you) take one Injury and Fatigue every round for each bead you use, as well as being Hindered on Move, Think, Finesse, and Throw rolls. This requires your action to start and to maintain, and you take one Stress every round it's active. Reduce the Harm dealt by each target's Resistance Edge.</t>
  </si>
  <si>
    <t>You can never be disarmed. Double the Toughness and Structure of any weapon, armor, Inventory, or reel you're wielding. If this is dispelled, it returns at the end of your next turn.</t>
  </si>
  <si>
    <t>While wielding a hook, you can use two stunts on a Brawl roll to stab your enemy and hold them in place. While they're held, they are Pinned unless they pull it out (requiring a Brawl roll against your Brawl) or tear it out, which causes them to take Unresisted Injuries equal to your Might Edge. Additionally, while you have them held you gain the following stunts for Brawl: pull your enemy anywhere within your reach; and twist the hook to make them Hindered on Wits and Heart rolls for the next round (using this stunt more than once doesn't increase its effects or duration in any way). While holding an enemy in this way, you can't use stunts to deal additional Harm with the hook.</t>
  </si>
  <si>
    <t>While wielding a needle, you can accept two Fatigue to make two melee attacks with one action. For every five dice you have to Brawl (not including automatic successes), you can accept another two Fatigue to make another attack in this way. You have to declare that you're doing this (and how many attacks you're making) before you start making attacks.</t>
  </si>
  <si>
    <t>While you aren't wielding any other weapons (except gauntlets, handwraps, or other minimal weapons), blocking bare-handed does not cause you to take damage. If you block a ranged weapon bare-handed, you can catch any projectiles involved. This negates the effects of Rebound, if applicable. You can choose to attack as though you were dual wielding or using any additional number of weapons.</t>
  </si>
  <si>
    <t>With two stunts and by accepting two Injuries on a Brawl attack, you can knock an enemy's weapon out of their hands. It flies in a random direction and lands within Close range. That enemy can retrieve it on their turn. If your enemy has more than one weapon, you can use additional stunts and accept additional Injuries to disarm them of multiple weapons.</t>
  </si>
  <si>
    <t>When one of your allies in your reach is about to get attacked, you can choose to throw yourself in front of the attack and willingly take that hit instead of them. You can't choose to dodge or avoid the attack—however, you can attempt to block it. You have to see the attack coming in order to do this.</t>
  </si>
  <si>
    <t>If an enemy's attack would move you from your position, knock you down, or in any other way move you against your will, you can accept one Injury instead.</t>
  </si>
  <si>
    <t>When struck by a melee attack, you can choose to double the initial Damage Base of the attack (before applying either Resistance or effects like the Crocodile Regular's Sharp, but after applying any stunts) to make an immediate counterattack against the enemy that hit you. You cannot apply the effects of any Weapon Skills, Sunder, Opening, Flurry, dual wielding, or Called Shot to this attack. This does not apply to an attack you block. If you have Bloodied Berserker or any similar ability, calculate your attack before applying damage from the enemy's attack.</t>
  </si>
  <si>
    <t>On your turn, you can make a Manipulate roll (with a number of bonus dice equal to your Resistance Edge) against an enemy's Wits to force them to exclusively attack you for one minute (six combat rounds). If you fail this roll, you take an amount of Confusion equal to your Might Edge. This does not require your action.</t>
  </si>
  <si>
    <t>You can use a Lighthouse, a small floating cube with a variety of functions. Which functions are available is affected by the rank of the Lighthouse. You can control a number of Lighthouses at one time equal to your Wits Edge. You can only control a Lighthouse as long as it stays within a certain range, which varies depending on the rank. The Lighthouse has an Agility equal to its controller's Wits. Any rolls you make using a Lighthouse receive bonus dice for each Lighthouse you use. The number of bonus dice depends on the rank of the Lighthouse.</t>
  </si>
  <si>
    <t>With a Think roll against an enemy's Resistance, you can temporarily slow or pin them. With one success over their Resistance, you Slow them for one round. You can use a stunt to increase the duration by a round. Alternatively, you can use three times as many stunts (three as the base, plus three for each round past the first) to instead pin them for the duration. This uses your action. The enemy must be within Short range of one of your Lighthouses. This ability uses shinsu.</t>
  </si>
  <si>
    <t>If you have the Lighthouse Teleportation ability, you can accept one additional Confusion (two total) to use the ability without using your action. Additionally, you can accept three additional Confusion (five total) to use the ability on someone else's turn. The cost is then multiplied by the number of times you've used this ability this round (plus one). I.e. if it's the first time you're using it, no multiplier.</t>
  </si>
  <si>
    <t>You can use one or more Lighthouses to assist a ranged weapon, allowing that weapon's wielder to be much more accurate than they would be otherwise. When an ally makes a Throw roll, you can simultaneously make a Think roll and give all of your successes to your ally. They treat your successes as though they had rolled them. Using this ability gives you Confusion equal to your Wits Edge. You can use this ability when it isn't your turn, but it consumes your next action. This ability uses shinsu.</t>
  </si>
  <si>
    <t>You can use a Lighthouse to hack into a Lighthouse that you don't control. The other Lighthouse must be within the range of yours. To hack it, you make a Think roll against the other Light Bearer's Think. If you win, you gain control of their Lighthouse and can access any data stored inside. This requires one full round of hacking. If they attempt to regain control of their Lighthouse (requiring another full round), they make another contested Think roll.</t>
  </si>
  <si>
    <t>When speaking with someone and neither of you is in combat, you automatically know if they're lying or hiding something (but not necessarily what), with no roll required.</t>
  </si>
  <si>
    <t>You can take one Confusion per Lighthouse (with a minimum of three) to form a wall with them. This requires your action to make, but not to maintain. The maximum distance between two adjacent Lighthouses is equal to one-tenth the range of said Lighthouses. While the walls between Lighthouses must be straight, the overall structure can have any number of angles—provided you control enough Lighthouses. Each section of wall has a Toughness equal to your Wits Edge and a Structure equal to your Heart Edge, both of which are multiplied by the number of Lighthouses used. While they're creating a wall, you can't use any of those Lighthouses. This ability uses shinsu.</t>
  </si>
  <si>
    <t>By using a Lighthouse of at least rank B, your Lighthouse can create a large honeycomb sphere around a single enemy. Using this requires an action. Each of the interior surfaces of this sphere will, when touched, warp the enemy to a random other surface. At the beginning of each of the enemy's turns, roll Think; the Structure of the sphere during that turn is equal to ten times the number of successes on your roll. The Toughness of the sphere is equal to your Wits. Your Lighthouse must be within Close range of the chosen enemy. This ability uses shinsu.</t>
  </si>
  <si>
    <t>You can summon a small flying robot called an Observer. You must purchase this Observer before you can use it. You need to use an action to summon the Observer, but not to control it. For the purposes of dodging and taking hits, the Observer has 10 Might and Agility equal to its controller's. This Observer can do the following: \n Record and transmit audio and video to an allied Lighthouse. \n Play recorded audio. \n Spread light in a small cone. \n Support the weight of a small child (maximum ~50 lb or ~20 kg).</t>
  </si>
  <si>
    <t>Adds the following abilities to the Observer. These abilities can't be used unless you possess an advanced Observer.\n Create a hologram up to human size within Close range. This hologram can move and is virtually indistinguishable from an imitated object or person. This ability can be used in conjunction with the basic ability to play recorded audio. The hologram does not have any physical substance. The hologram fools anyone who observes it unless they attempt to physically touch it.\n Slow creatures in a small cone for one round (this requires your action). The creatures must be within Close range.\n Counter the above slowing ability (this does not need to be done on your turn, but leaves you Hindered on any rolls taken as part of your next action).\n Support the weight of a single person</t>
  </si>
  <si>
    <t>You can block the light around you, essentially becoming invisible. This uses your action when you start it, but not to continue using it. This requires using one bead per minute. If you don't have any beads, you can't use this ability. While invisible, sneaking using Finesse does not use an action. Any attempts to detect you are Hindered. Anyone targeting you is treated as Blinded unless they can pinpoint your position (with a successful Think roll), in which case they are Hindered.</t>
  </si>
  <si>
    <t>You can roll Brawl to force an enemy off-balance. You do not deal damage by default with this roll. Instead, you can give any number of your successes to the next person to attack the enemy before that enemy's next turn.. They treat these successes as though they had rolled them for all purposes. This uses your action.</t>
  </si>
  <si>
    <t>If it is physically possible for you to notice a nearby enemy or ambush, you do so. If the enemy or ambusher is within Short range, you don't need to roll. If they're within Medium range, you must still roll Think against their Finesse. If the hiding enemy or ambusher is a Scout or has the Sneaky ability, you must still roll Think against their Finesse. If they're using Black Fish, you are not Hindered on that roll. For every minute that you're around a hiding enemy or ambusher, you can attempt to reroll a failed Think roll you made as part of this ability.</t>
  </si>
  <si>
    <t>When you attack an enemy that isn't expecting your attack (they must either be unaware of your presence or consider you friendly), your attack deals double damage.</t>
  </si>
  <si>
    <t>When you attack an enemy that isn't expecting your attack (they must either be unaware of your presence or consider you friendly), your combat doesn't make any noise until the end of your target's turn (if they survive that long). This is considered a shinsu effect, but does not require a bead.</t>
  </si>
  <si>
    <t>With a good arm and a little strain, you can throw allies about as well as weapons. If you have an ally and a weapon with projectiles at least the size of an arrow, you can attach the ally to a projectile and fire it wherever you want. This does not require a roll, but has a maximum range of one increment lower than your weapon's normal range.</t>
  </si>
  <si>
    <t>You can make an attack with a ranged projectile weapon that sticks in an opponent's joints, muscles, or other important area. Until they use their entire turn to remove the projectile, they are Impaired on all rolls with a single attribute, decided when you make the attack (e.g. they could be Impaired on all Agility-based rolls). The magnitude of the Impaired effect is equal to twice your Agility Edge.</t>
  </si>
  <si>
    <t>By taking three Confusion, you can hit an enemy with a ranged attack even if you don't have a clear shot at that enemy. This can also get around the effects of Defender.</t>
  </si>
  <si>
    <t>Use one or more beads to create a wall of energy, enough to block a hallway, that lasts one round. This requires using an action. It's impenetrable and has Structure and Toughness equal to your Heart Edge. You can create it anywhere within Short range. For each bead, you can choose one of the following options: \nThe wall deals a number of Injuries equal to your Heart Edge (minus their Resistance Edge) to anyone adjacent to it at the start of their turn. If you use an additional bead, the range of this effect increases to Close. \nIt slows anyone adjacent to it. If you use an additional bead, the range of this effect increases to Close. \nIncrease the Structure and Toughness by your Heart Edge. This requires one bead for the first use, two beads for the second, three beads for the third, and so on. \nIt lasts up to five rounds, or until you dismiss it (does not take an action, can only be done on your turn). Each additional bead gets another five rounds. \nThe wall's negative effects don't affect those you specify (up to a number of people equal to half your Heart). This includes the ability to pass through it without first breaking it.</t>
  </si>
  <si>
    <t>Use one or more beads to create a shield of shinsu. This can either take the form of a battle-ready shield, which can be used to block attacks (using your Attune instead of your Brawl), or a larger barrier to protect you and others from damaging large-scale attacks. In the first case, the shield does not require use of a hand and lasts until destroyed or dispelled, and has Structure and Toughness equal to half your Heart Edge times the number of beads used. In the second case, this ability requires using at least as many beads as the number of people you're protecting, lasts until the end of your next turn (unless destroyed or dispelled), cannot affect anyone outside Short range, and has Structure and Toughness equal to your Heart Edge times the number of beads used. This does not require an action. If you use this on somebody else's turn, you accept three Stress and Fatigue.</t>
  </si>
  <si>
    <t>Use one or more beads to create a weapon from shinsu. This can take the form of any weapon, but does not have any special abilities. The weapon grants an amount of bonus dice equal to half the number of beads (rounded down), 10 Structure per bead, and 5 Toughness per bead. If your weapon can be used for both melee and ranged attacks, it only grants half the bonus dice to each type of roll (rounded up). This does not require an action. If you use this on somebody else's turn, you accept three Stress and Fatigue.</t>
  </si>
  <si>
    <t>Use one bead (requiring an Attune roll against the target's Resistance) to paralyze an enemy within Close range for one round. You can target Observers or Lighthouses using this; instead of rolling against your target's Resistance, you roll against their effective Agility (determined by their controller's Agility or Wits, respectively). If you successfully hit an Observer or Lighthouse, it's inoperable for one round and cannot move or have any abilities used through it. This uses your action. You can use stunts to extend the duration, at two stunts per round. You can use additional beads to extend the duration as well, at two beads per round. You cannot add beads afterwards.</t>
  </si>
  <si>
    <t>You can shoot any number of beads at one or more enemies (dividing the beads as you wish between them). This requires an Attune roll (roll once per enemy), and can be dodged or blocked. If you can't see your target, you fail the roll. Treat this as a Throw roll with Damage Base equal to your Heart Edge minus each enemy's Resistance Edge. You cannot use more successes on a target than the number of beads you used on that target. This is a ranged weapon with a range of Short. Shooting a bead consumes it. This requires your action. Increasing the range counts as increasing the casting range of this ability.</t>
  </si>
  <si>
    <t>Any ability you have that uses beads can be altered to reach farther, cover a wider area, or—in some cases—magnify the effect. \nCasting range: Abilities that do not, by default, include the caster in their area of effect or extend from the caster have a casting range. Using one additional bead, you can extend the casting range from your reach to Close. From Close to Short requires three beads, Short to Medium requires five beads, and Medium to Long requires 10 beads. You can increase by more than one step; to do so, add the additional bead costs together. Thus extending the casting range of an ability from Short to Long requires 15 beads. Abilities that require contact cannot have their casting range increased, unless they have some other way to increase the range to one of the normal increments. \nArea: If an ability would normally affect an area within reach, you can increase it to affect Close range by using three additional beads. You can increase the area from Close to Short range with seven additional beads, from Short to Medium range with 15 additional beads, and from Medium to Long range with 30 additional beads. Increases by more than one increment function the same as they do for casting range. Abilities that do not normally have an area of effect cannot gain one with this ability. \nDuration: For abilities that do not specify other ways to increase the duration, you can use any number of beads to increase the duration by the same number of rounds. You can do this at any point during the duration to increase it further, provided you're within the unaltered casting range. \nEffect: Some abilities may specify that they can have additional or different effects if you have this ability.</t>
  </si>
  <si>
    <t>You can use a bead and make an Attune roll against an enemy's Attune to counter one shinsu-based effect they created. This uses your action. You have to either be within Short range of the effect or the creator. If you accept two Stress, you can use this on someone else's turn. Abilities that use beads automatically use shinsu.</t>
  </si>
  <si>
    <t>Using an action, you can use any number of beads to throw enemies away from you. This requires an Attune roll against their Resistance; if targeting more than one enemy, roll once and apply to each enemy's Resistance. You need at least one bead per enemy. This throws enemies back one range increment (within reach to Close, Close to Short, etc). If you have the Magnify ability, you can use more beads to throw them further—double the bead cost per enemy (including required beads for affecting further-away enemies) to throw them back two range increments, triple it to throw them back three range increments, and quadruple it if you need to throw someone from melee range to Long range.</t>
  </si>
  <si>
    <t>You have a dream of some sort. Whenever you make progress towards this dream (other than going up the tower), gain experience equal to the highest floor you've reached. You can change your dream up to once per floor. When you do, you don't gain any experience the next time you make progress towards your dream. Changing your dream causes you to gain one Exhaustion. If you achieve your dream, you retire permanently. Suggestions for your dream:\n Someone I do/don't know killed my family/friends/lover. I need to get revenge.\n My family looks down on me. I need to prove to them what I can do.\n My friend/lover/family member went up the tower. I need to find them.\n This Tower isn't right. I want to change things.\n Someone I love is determined to climb the Tower. I'm going with them. If you want to choose this Dream, or one like it, discuss it with the other players (Regulars only). With their permission, choose one that this Dream applies to.\n [Partway up the tower] These are my friends now. I'm protecting them.</t>
  </si>
  <si>
    <t>You don't start with this ability, but can buy it with experience as though it was a universal ability. Humans can survive and thrive anywhere—blazing heat, freezing cold, toxins, predators, hazards, anywhere. You become immune to all poisons. You can survive in temperatures where most anyone else would freeze solid or burst into flame. You can go without food, water, or sleep for as long as you need to.</t>
  </si>
  <si>
    <t>You're unnaturally large. Your melee reach is twice a normal person's reach. However, you are Hindered on all Finesse rolls.</t>
  </si>
  <si>
    <t>Doesn't Hunt Money</t>
  </si>
  <si>
    <t>You don't start with this ability, but can buy it with experience as though it was a universal ability. Any Harm you deal while Fragile, Weakened, Anxious, or Volatile is increased by half (rounded down).</t>
  </si>
  <si>
    <t>Every time you become Fragile (maximum once per day) or gain an Exhaustion or Trauma, you gain experience equal to the highest floor you've reached. Additionally, taking strenuous actions while Fragile does not cause you to gain an Injury. You can continue to act normally while Dying; any strenuous actions while Dying still cause you to accept an Injury. You are immune to any instant-death effects of Called Shots.</t>
  </si>
  <si>
    <t>You gain access to the Canine family's set of abilities. You need to purchase all of these abilities, as normal.</t>
  </si>
  <si>
    <t>You don't start with this ability, but can buy it with experience as though it was a universal ability. Sometimes you have to make do with junk. Given an hour or two, plus access to a decent amount of supplies, you can put together a tool or machine that can get the job done. One job, at least. Whatever you create doesn't grant bonus dice.</t>
  </si>
  <si>
    <t>Cassandra's Truth</t>
  </si>
  <si>
    <t>You don't start with this ability, but can buy it with experience as though it was a universal ability. The more profound your words are, the more people distrust them. You can choose to take only half the normal Stress (rounded up) to use Where Fate Leads. Whatever answers you get, you have to convince others (with a Manipulate or Reach Out roll against their Think) for them to believe the truth of what you say.</t>
  </si>
  <si>
    <t>Every week, you receive 300 credits times the highest floor you've reached (e.g after reaching floor 10 you receive 3,000 per week).</t>
  </si>
  <si>
    <t>If you attack any member of your noble family and the family finds out, you're disowned and stop getting your allowance.</t>
  </si>
  <si>
    <t>You Have Your Parents' Fire</t>
  </si>
  <si>
    <t>Whenever you defeat another Heir or ensure they won't be a competitor, you gain experience equal to three times their highest attribute.</t>
  </si>
  <si>
    <t>You don't start with this ability, but can buy it with experience as though it was a universal ability. All Harm you deal to another Royal Heir is doubled.</t>
  </si>
  <si>
    <t>You don't start with this ability, but can buy it with experience as though it was a universal ability. You do not need to sign a contract to control shinsu.</t>
  </si>
  <si>
    <t>You can create and refine items. Creating them requires materials costing half of the item's price. Improving them requires materials costing one-tenth of the item's price. Either use requires a full day. When you do this, make a Finesse or Think roll. The number of required successes is determined by the rank: making or improving an E-rank item requires five successes; a D-rank item requires ten successes; a C-rank item requires twenty successes; a B-rank item requires fifty successes; an A-rank item requires 100 successes; and a S-rank item requires two hundred successes. You can use stunts to: increase the Toughness by 1, increase the Structure by 2, increase the amount of bonus dice the item grants by 1, or decrease the time required to one-half of what it was (the first usage of this stunt reduces the time to eight hours, the second reduces the time to four hours, etc). If you do not have enough successes on this roll, you recover materials equal to half of what you invested.</t>
  </si>
  <si>
    <t>You can use your action and accept Stress equal to twice your Heart Edge to attempt to exert your will over a divine fish within Short range. Make an Attune roll against the fish's Resistance (this roll is Impaired by an amount equal to their Heart plus their Wits if used against an intelligent creature). If you succeed, you have complete control over that fish for as long as you want, until either you fall unconscious for any reason, someone else uses this ability on the fish (which uses a Attune roll against your Attune), or you choose to release the fish.</t>
  </si>
  <si>
    <t>Through sheer intelligence, you've managed to partially replicate the essential ability of a Guide. You can ask the GM any one question. If you have the minimum information necessary to reach an answer through logic and thought, the GM answers you and you accept Confusion equal to your Wits Edge. If you don't have enough information, you accept Confusion equal to half your Wits Edge (round up).</t>
  </si>
  <si>
    <t>Through intense training and the revelation of some family secrets, your sword has stopped being a physical object, and is instead a shinsu-based manifestation of your skill and bloodlust. You can create a shinsu sword by taking one Stress. This does not require an action and does not need to happen on your turn. Bonuses that would normally only apply when wielding a physical sword apply when wielding your shinsu sword. Because your sword no longer has a physical form, it isn't as bound by the rules of reality, and tends to hit its target every time. Your attacks with the shinsu sword cannot be dodged by anyone with an Agility lower than your Heart, nor can they be blocked with anything that does not protect your target's entire body (e.g. a suit of armor would protect them, while an armor inventory would not). Your Damage Base with this is equal to your Might Edge plus half your Heart Edge. Your shinsu sword functions as both a blade and a needle for the purposes of Weapon Skills and other abilities.</t>
  </si>
  <si>
    <t>You can accept one Stress per round to become engulfed in your own fire. All enemies within your reach at the end of each of your turns, or who attack you in melee (this applies for each attack), take Injuries equal to your Heart Edge minus their Resistance Edge (minimum 1). While this is active you increase your Resistance by an amount equal to twice your Heart Edge. This doesn't require an action to activate, but must be activated on your turn.</t>
  </si>
  <si>
    <t>You can use your armor (including shield and armor inventories) offensively. At any time, including on somebody else’s turn, you can choose to start using your armor as a weapon. From that point until you choose to stop using it as a weapon (which can only be done on your turn), any rolls you make to block with it are Hindered and any rolls you make to attack with it gain bonus dice equal to half the dice it would normally grant (rounded down). If your armor does not normally grant dice to Block rolls, and functions some other way, then work with your GM to decide how to reduce the defensive powers of your armor (as a guideline, its defensive powers should be reduced by about half) and how to grant it offensive powers. You cannot switch between using your armor as a weapon and using it as armor more than once per turn (i.e. on a given turn, you can only stop using it as a weapon or start using it as a weapon).</t>
  </si>
  <si>
    <t>shinsu</t>
  </si>
  <si>
    <t>(you start with the Beads universal ability) 
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to:\n Ignore the limit on beads controlled for one Stress per round per bead.\n Create beads on somebody else's turn, at the cost of two Stress per bead. If you accept three additional Stress per bead, you can then use a single ability that uses beads and would normally require your action.</t>
  </si>
  <si>
    <t>var universal = [{name: "Beads",
    id: "BEADS",
    description: "You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to:\n Ignore the limit on beads controlled for one Stress per round per bead.\n Create beads on somebody else's turn, at the cost of two Stress per bead. If you accept three additional Stress per bead, you can then use a single ability that uses beads and would normally require your action.",
    source: "any",
    type: "universal",
    shinsu: true}, {name: "Flight",
    id: "FLIGHT",
    description: "You can “swim” through the shinsu, effectively flying. You can only do this when your Heart is greater than one-fifth the current floor. You need to use a bead to begin using this ability, but not to continue using it. While flying in this way, you are Hindered on Brawl and Move rolls.",
    source: "any",
    type: "universal",
    shinsu: true}, {name: "Shinsu Reinforcement [Extended]",
    id: "SHINSU_REINFORCEMENT_[EXTENDED]",
    description: "You can use one bead and, for two rounds, act as though your Agility and Might were increased by an amount equal to your Heart. Using this requires an action. The bonus increases those attributes for all purposes, including bonus dice, automatic successes, Edges, and your maximum Injuries and Fatigue. By accepting Stress, you can increase the duration by one round per Stress. You can accept Stress to extend the duration on other rounds, not just the first; doing so does not require an action. Additionally, you can accept one Stress (per round) to instead act as though your Agility and Might were increased by twice your Heart instead. By using one additional bead (but without accepting any additional Stress), you can additionally reinforce one object you're holding to let it function as a weapon. This lasts for up to one round after you let go of it or until the entire effect ends, whichever comes first. While you're reinforcing the object, it has Structure and Toughness equal to half your Heart and acts as an appropriate weapon for all purposes (discuss with your GM what weapon would be appropriate).",
    source: "any",
    type: "universal",
    shinsu: true}, {name: "Superhuman Speed",
    id: "SUPERHUMAN_SPEED",
    description: "While you're boosted by Shinsu Reinforcement, you can accept an amount of Fatigue equal to twice your Agility Edge to take two actions in the same round. In order to buy this ability, your Agility must be at least 50.",
    source: "any",
    type: "universal",
    shinsu: false}, {name: "Superhuman Strength",
    id: "SUPERHUMAN_STRENGTH",
    description: "While you're boosted by Shinsu Reinforcement, you can accept a number of Injuries equal to twice your Might Edge to perform a feat of strength. Until the end of your turn, you make any Might-based rolls with three times as many dice. In order to buy this ability, your Might must be at least 50.",
    source: "any",
    type: "universal",
    shinsu: false}, {name: "Give it Everything",
    id: "GIVE_IT_EVERYTHING",
    description: "Once per week, you can accept one Exhaustion to briefly ignore your wounds. For the next thirty seconds (three rounds of combat), you cannot die by any means. Additionally, during that time being Weakened or Anxious does not Hinder your rolls and exceeding your limits on any type of Harm does not cause you to faint, collapse, break down, or die. After the round is over, you experience all the normal consequences of having Exhaustion, as well as any other Harm you may have accumulated.",
    source: "any",
    type: "universal",
    shinsu: false}, {name: "Long Life",
    id: "LONG_LIFE",
    description: "Exposure to shinsu and the conditions in which you've trained have kept you from aging. You cannot take this ability unless you have an attribute that's at least 50.",
    source: "any",
    type: "universal",
    shinsu: false}, {name: "Compression",
    id: "COMPRESSION",
    description: "Either by making a contract with the Administrator, or by using your own power, you can reduce your size or the size of your possessions. This is generally used when you or your weapons are too big to fit in most structures. Compressing yourself or an item requires a minute of concentration. Reversing this does not take an action. If applied to an object, anyone can reverse the effect, even without this ability. While compressed, you are Hindered on all Might rolls. Compressing a crocodile causes them to lose the Big ability while compressed. This ability uses shinsu.",
    source: "any",
    type: "universal",
    shinsu: false}, {name: "Up Close and Personal",
    id: "UP_CLOSE_AND_PERSONAL",
    description: "When you buy this ability, you can get any one of the following abilities at no extra cost:\nDisarm (Fisherman), Counterattack (Fisherman), Flurry (Fisherman), Support Fighter (Scout), or Opening (Scout). You can only buy this ability twice.",
    source: "any",
    type: "universal",
    shinsu: false}, {name: "Heal",
    id: "HEAL",
    description: "You can use any number of beads to repair a person's body. Each bead heals them of Injuries equal to your Heart Edge, or Fatigue equal to half your Heart Edge (rounded down). This requires ten seconds (one round of combat) per bead, but does not require an action. If you have the Magnify ability, you can increase the effectiveness of each round of healing—by using three beads, you can apply the healing benefits of two of them in one round. The additional bead cost increases linearly; tripling the effective healing speed requires five beads total, quadrupling requires seven beads total, etc. For the math nerds, the cost of healing with speed X is equal to 2X-1.",
    source: "any",
    type: "universal",
    shinsu: true}, {name: "Dual Training",
    id: "DUAL_TRAINING",
    description: "When you're wielding two or more weapons at once, add a number of dice equal to your Might Edge or Agility Edge to all attack rolls. This applies before calculating the effects of Hindered.",
    source: "any",
    type: "universal",
    shinsu: false}, {name: "Many-Weapon Training",
    id: "MANY-WEAPON_TRAINING",
    description: "When you're wielding more than two weapons at once, your attacks are Hindered and Impaired equal to the total number of attacks, instead of the normal penalty. You must have Dual Training to get this ability.",
    source: "any",
    type: "universal",
    shinsu: false}, {name: "Titan's Grip",
    id: "TITAN'S_GRIP",
    description: "You can wield a two-handed weapon in one hand without penalties, as though it was a one-handed weapon.",
    source: "any",
    type: "universal",
    shinsu: false}, {name: "Sharp as Broken Glass",
    id: "SHARP_AS_BROKEN_GLASS",
    description: "When your mind broke, the edges were left sharper. Increase your Edges by the number of Traumas you have. \nIt's not a good idea to refer to any traumatized person as broken. If you feel like you're broken, please find a therapist.",
    source: "any",
    type: "universal",
    shinsu: false}, {name: "Called Shot",
    id: "CALLED_SHOT",
    description: "Before you make a Brawl roll, Throw roll, or roll with the Shot ability (or any other ability that seems applicable), you can reduce your total dice by some amount to target a specific part of your enemy or their person. The penalty amount increases with the target's Tier. If you hit, you resolve the roll as normal and may also cause your enemy to suffer an additional effect. If you're using Rapid Shot, Shot, or another ability that allows you to make multiple attacks on separate targets, you can use these attacks to target multiple parts of the same enemy. \nArm: -(Tier) dice. The enemy is Hindered on Brawl rolls with that arm for the next two rounds. \nChest: -(Tier) dice. The enemy is Hindered on Agility rolls for the next two rounds. \nEye: -(5*Tier) dice. The enemy is Blinded for the next two rounds. \nHand: -(3*Tier) dice. The enemy is disarmed and is Hindered on Brawl rolls with that hand for the next two rounds. \nHead: -(3*Tier) dice. The enemy is Hindered on Wits rolls for the next two rounds. \nHeart: -(5*Tier) dice. The enemy takes additional Unresisted Injuries equal to their Might Edge. If your attack would leave them Fragile or worse, they die. \nLeg: -(Tier) dice. The enemy is Slowed for the next round unless they are flying. \nNeck: -(5*Tier) dice. The enemy can't speak for the next two rounds. If your attack would cause them to take at least as many Injuries as half their Might (after applying Resistance and other reductions), they die. \nVitals: -(3*Tier) dice. The enemy is Hindered on all rolls for the next round. \nArmor/Shield: -(Tier) dice. The enemy can't attempt to block this attack. \nWeapon: -(2*Tier) dice. The enemy can attempt to block this, but must choose another item to take the attack instead.",
    source: "any",
    type: "universal",
    shinsu: false}]</t>
  </si>
  <si>
    <t>var shinsu = [{name: "Shinsu Quality (Lightning)",
    id: "SHINSU_QUALITY_(LIGHTNING)",
    description: "If you deal any amount of Harm to a Lighthouse, Observer, or other electrical device (GM has the final say on what counts), it overloads and stops functioning for the next round.",
    source: "any",
    type: "shinsu",
    shinsu: true}, {name: "Lightning Strike",
    id: "LIGHTNING_STRIKE",
    description: "You can use two beads and accept Stress and Confusion equal to your Heart Edge and Wits Edge, respectively, to throw a spear made of lightning. You don't need a physical spear to make this attack. You can't use this attack with the abilities Called Shot, Rapid Shot, Impale, Critical Shot, or Disabling Shot. You can't use stunts with this attack except to deal additional Harm. All Harm caused by this attack is Unresisted. Attempts to dodge this attack are Hindered.",
    source: "any",
    type: "shinsu",
    shinsu: true}, {name: "Chain Lightning",
    id: "CHAIN_LIGHTNING",
    description: "You can use one or more beads to target a point within Short range; a number of enemies within Close range less than or equal to twice the number of beads used take Injuries equal to half your Heart minus half their Resistance.",
    source: "any",
    type: "shinsu",
    shinsu: true}, {name: "Bolt Rider",
    id: "BOLT_RIDER",
    description: "You can use a bead and take two Stress and Fatigue to move to any location you could reach in a straight line without hitting any solid objects. This uses either your movement or your action. You cannot use this more than once per round. Any attempts to sneak while using this are Hindered.",
    source: "any",
    type: "shinsu",
    shinsu: true}, {name: "Shinsu Quality (Wind)",
    id: "SHINSU_QUALITY_(WIND)",
    description: "You do not need to use a bead to use the Flight ability, and using it doesn't require an action. Flight still uses shinsu. Additionally, you are not Hindered on Brawl or Move rolls while airborne.",
    source: "any",
    type: "shinsu",
    shinsu: true}, {name: "Whirlwind [Extended]",
    id: "WHIRLWIND_[EXTENDED]",
    description: "You can use any number of beads to create a whirling wall of air around you that deflects almost any projectile. Whenever you're being targeted by a ranged attack, you can roll against it. You make this roll with as many dice as twice the number of beads you used. This lasts until the end of your next turn, and requires an action.",
    source: "any",
    type: "shinsu",
    shinsu: true}, {name: "Gust",
    id: "GUST",
    description: "You can use any number of beads to create a gust of wind. The wind is a line as wide as you that extends until it hits a large, solid object (to a maximum range of Short). Creatures that are hit by the gust take one Injury and one Fatigue for every three beads you use (reduced by their Resistance Edge, minimum one), and are Impaired by a number equal to the number of beads you use on all rolls for the next round.",
    source: "any",
    type: "shinsu",
    shinsu: true}, {name: "Still and Stir the Air",
    id: "STILL_AND_STIR_THE_AIR",
    description: "You can use a bead to manipulate the air currents around you within Short range. Depending on what you wish, you can amplify sounds and scents, or instead negate them.",
    source: "any",
    type: "shinsu",
    shinsu: true}, {name: "Shinsu Quality (Ice)",
    id: "SHINSU_QUALITY_(ICE)",
    description: "Any of your abilities that would slow enemies instead pin them for the first round and slow them for the rest of the duration.",
    source: "any",
    type: "shinsu",
    shinsu: true}, {name: "Ice Rink",
    id: "ICE_RINK",
    description: "You can use any number of beads to create a circular ice rink on the ground around you in Short range. It lasts for one round. While touching the ground, anyone who does not have the ice shinsu quality is Impaired on Move and Brawl rolls by a number equal to the number of beads you used and takes Fatigue equal to the number of beads you used minus their Resistance Edge at the start of each of their turns. This takes your action.",
    source: "any",
    type: "shinsu",
    shinsu: true}, {name: "Polar Midnight",
    id: "POLAR_MIDNIGHT",
    description: "Cool the area within Close range. This takes an action. All water freezes, everyone who isn't you takes three times your Heart Edge in Fatigue (reduced by their Resistance Edge), and all metallic objects become too cold to safely touch without protection. Anyone holding one takes Unresisted Injuries equal to three times your Heart Edge unless they drop the object.",
    source: "any",
    type: "shinsu",
    shinsu: true}, {name: "Frozen Grapeshot",
    id: "FROZEN_GRAPESHOT",
    description: "You can use an action and a bead to fire off a blast of razor-sharp shards of ice. Enemies in a cone within Close range take Injuries and Fatigue equal to twice your Heart Edge. Creatures in the area can attempt to dodge this, rolling against your Attune (if more than one creature is dodging, roll Attune once and compare that to all dodge rolls). If they successfully dodge, they instead take Injuries and Fatigue equal to your Heart Edge. Regardless, they reduce both types of incoming Harm by their Resistance Edge (minimum 1).",
    source: "any",
    type: "shinsu",
    shinsu: true}, {name: "Shinsu Quality (Fire)",
    id: "SHINSU_QUALITY_(FIRE)",
    description: "Whenever you would make an enemy take any number of Injuries, you also give them half that many Unresisted Injuries (rounded down) on their next turn. Calculate based on the post-mitigation Injuries. This does not apply to Injuries dealt by this ability. If you're underwater or in some other fire-resistant environment, this effect is negated (subject to GM interpretation).",
    source: "any",
    type: "shinsu",
    shinsu: true}, {name: "Inferno [Extended]",
    id: "INFERNO_[EXTENDED]",
    description: "You can use any number of beads to create a massive ball of flames, melting or incinerating just about everything nearby. On your first turn while using this ability, you cause all enemies within Short range to take Injuries equal to the number of beads used. On your second turn, the damage increases to be equal to twice the number of beads used. This continues until you're dealing damage equal to your Heart Edge per bead. You have to use your action each turn that you use this. If you already have this ability in use, you can add beads to it without using an action, which increases the damage.",
    source: "any",
    type: "shinsu",
    shinsu: true}, {name: "Fireball",
    id: "FIREBALL",
    description: "You can use any number of beads to create a small ball of fire that flies towards an area and explodes. It travels in a straight line and explodes when it hits any solid barrier or when it reaches its maximum range. Its maximum range is Medium. When it explodes, it deals two Injuries per bead to all creatures within Close range of it. The creatures can attempt to dodge this, rolling against your Attune (if more than one creature is dodging, roll Attune once and compare that to all dodge rolls). If they successfully dodge, they instead take one Injury per bead. The damage in both cases is reduced by their Resistance Edge (minimum one). This takes your action.",
    source: "any",
    type: "shinsu",
    shinsu: true}, {name: "Flare [Extended]",
    id: "FLARE_[EXTENDED]",
    description: "You can use one or more beads to create a light in a location within Close range. That light brightly illuminates the surrounding area out to Close range. If the light covers at least Short range, it is especially bright in closer areas. Everything in the range increments below its illumination range is revealed. All rolls to hide or sneak within that area are Hindered. This has no effect on invisible things. For example, if the light illuminates everything up to Long range, it reveals things up to Medium range. It lasts until dispelled or until you want the bead(s) back. If you have the Magnify ability and double the bead cost, you can overcharge the light, creating a bright flash capable of blinding people inside the area. Anyone inside the light's total area who doesn't intentionally avert their eyes (you are assumed to do so) is Blinded for the next round. The duration of the Blinded effect can't be increased.",
    source: "any",
    type: "shinsu",
    shinsu: true}, {name: "Shinsu Quality (Rock)",
    id: "SHINSU_QUALITY_(ROCK)",
    description: "Whenever someone makes a contested roll against one of your attributes, increase that attribute's Edge by half (rounded down). If this is dispelled, it returns at the end of your next turn.",
    source: "any",
    type: "shinsu",
    shinsu: true}, {name: "Stone Skin",
    id: "STONE_SKIN",
    description: "By taking one Stress per round (in addition to any other sources of Stress), Shinsu Reinforcement increases your Resistance by half of your Heart.",
    source: "any",
    type: "shinsu",
    shinsu: true}, {name: "Toughness",
    id: "TOUGHNESS",
    description: "Attacks that target you have a minimum Damage Base of 0.",
    source: "any",
    type: "shinsu",
    shinsu: true}, {name: "Closed Mind",
    id: "CLOSED_MIND",
    description: "You know what you're here to do, and you don't get distracted easily. You reduce any Confusion that you would take by your Resistance Edge, similar to Fatigue. If this is dispelled, it returns at the end of your next turn.",
    source: "any",
    type: "shinsu",
    shinsu: true}, {name: "Shinsu Quality (Water)",
    id: "SHINSU_QUALITY_(WATER)",
    description: "As long as you would get at least one automatic success on a roll, you get additional automatic successes on that roll equal to your Tier. If you would not, you instead get bonus dice on that roll equal to your Tier. If this is dispelled, it returns at the end of your next turn.",
    source: "any",
    type: "shinsu",
    shinsu: true}, {name: "Crashing Wave",
    id: "CRASHING_WAVE",
    description: "You can use one bead to shove an opponent around at range. You make an Attune roll and treat it as a Brawl roll. You need to be able to see your target. This has a maximum range of Medium. You don't get any bonuses that apply only to Brawl rolls or that apply only to weapon attacks. For this attack, your Damage Base is equal to half your Heart Edge (round up).",
    source: "any",
    type: "shinsu",
    shinsu: true}, {name: "Maelstrom [Extended]",
    id: "MAELSTROM_[EXTENDED]",
    description: "You can use any number of beads to create a whirling tempest of water around you. This has a radius of Short, and all creatures in the area (except you) take one Injury and Fatigue every round for each bead you use, as well as being Hindered on Move, Think, Finesse, and Throw rolls. This requires your action to start and to maintain, and you take one Stress every round it's active. Reduce the Harm dealt by each target's Resistance Edge.",
    source: "any",
    type: "shinsu",
    shinsu: true}, {name: "Purify Body",
    id: "PURIFY_BODY",
    description: "Whenever you would be affected by the Heal ability, or whenever you would use the Heal ability on another (including through wands), you heal 50% more (rounded up).",
    source: "any",
    type: "shinsu",
    shinsu: true}, {name: "Shinsu Quality (Steel)",
    id: "SHINSU_QUALITY_(STEEL)",
    description: "While wielding a weapon, you get +2 dice on Brawl rolls and take 2 fewer Injuries, Fatigue, Confusion, and Stress from all sources (to a minimum of 0). This does apply to Unresisted Harm. This does not apply to Harm you willingly accept as part of an ability. Apply this after calculating total damage from the source; do not apply this to the Damage Base. If this is dispelled, it returns at the end of your next turn.",
    source: "any",
    type: "shinsu",
    shinsu: true}, {name: "Placeholder",
    id: "PLACEHOLDER",
    description: "nothing",
    source: "any",
    type: "shinsu",
    shinsu: true}, {name: "Armed and Ready",
    id: "ARMED_AND_READY",
    description: "You can never be disarmed. Double the Toughness and Structure of any weapon, armor, Inventory, or reel you're wielding. If this is dispelled, it returns at the end of your next turn.",
    source: "any",
    type: "shinsu",
    shinsu: true}, {name: "Armor Storm",
    id: "ARMOR_STORM",
    description: "You can use your armor (including shield and armor inventories) offensively. At any time, including on somebody else’s turn, you can choose to start using your armor as a weapon. From that point until you choose to stop using it as a weapon (which can only be done on your turn), any rolls you make to block with it are Hindered and any rolls you make to attack with it gain bonus dice equal to half the dice it would normally grant (rounded down). If your armor does not normally grant dice to Block rolls, and functions some other way, then work with your GM to decide how to reduce the defensive powers of your armor (as a guideline, its defensive powers should be reduced by about half) and how to grant it offensive powers. You cannot switch between using your armor as a weapon and using it as armor more than once per turn (i.e. on a given turn, you can only stop using it as a weapon or start using it as a weapon).",
    source: "any",
    type: "shinsu",
    shinsu: true}]</t>
  </si>
  <si>
    <t>var fisherman = [{name: "Weapon Skills (Hook)",
    id: "WEAPON_SKILLS_(HOOK)",
    description: "While wielding a hook, you can use two stunts on a Brawl roll to stab your enemy and hold them in place. While they're held, they are Pinned unless they pull it out (requiring a Brawl roll against your Brawl) or tear it out, which causes them to take Unresisted Injuries equal to your Might Edge. Additionally, while you have them held you gain the following stunts for Brawl: pull your enemy anywhere within your reach; and twist the hook to make them Hindered on Wits and Heart rolls for the next round (using this stunt more than once doesn't increase its effects or duration in any way). While holding an enemy in this way, you can't use stunts to deal additional Harm with the hook.",
    source: "position",
    type: "fisherman",
    shinsu: false}, {name: "Weapon Skills (Needle)",
    id: "WEAPON_SKILLS_(NEEDLE)",
    description: "While wielding a needle, you can accept two Fatigue to make two melee attacks with one action. For every five dice you have to Brawl (not including automatic successes), you can accept another two Fatigue to make another attack in this way. You have to declare that you're doing this (and how many attacks you're making) before you start making attacks.",
    source: "position",
    type: "fisherman",
    shinsu: false}, {name: "Weapon Skills (Blade)",
    id: "WEAPON_SKILLS_(BLADE)",
    description: "While wielding a blade, you can hit additional enemies with the same roll. Each enemy has to be within your reach. You take two Fatigue for each enemy past the first attacked in this way.",
    source: "position",
    type: "fisherman",
    shinsu: false}, {name: "Weapon Skills (Bludgeon)",
    id: "WEAPON_SKILLS_(BLUDGEON)",
    description: "While wielding a blunt weapon, you can use Brawl stunts to knock an enemy down or back. Knocking an enemy down requires two stunts; that enemy is considered Slowed until the start of their turn. Knocking an enemy back requires two stunts to move them to Close range, six stunts to move them to Short range, fourteen stunts to move them to Medium range, and thirty stunts to move them to Long range. If they hit a solid barrier, or otherwise end their movement, they take 1d6 Injuries for every stunt used this way (e.g. moving them to Short range means they take 6d6 Injuries).",
    source: "position",
    type: "fisherman",
    shinsu: false}, {name: "Weapon Skills (Unarmed)",
    id: "WEAPON_SKILLS_(UNARMED)",
    description: "While you aren't wielding any other weapons (except gauntlets, handwraps, or other minimal weapons), blocking bare-handed does not cause you to take damage. If you block a ranged weapon bare-handed, you can catch any projectiles involved. This negates the effects of Rebound, if applicable. You can choose to attack as though you were dual wielding or using any additional number of weapons.",
    source: "position",
    type: "fisherman",
    shinsu: false}, {name: "Disarm",
    id: "DISARM",
    description: "With two stunts and by accepting two Injuries on a Brawl attack, you can knock an enemy's weapon out of their hands. It flies in a random direction and lands within Close range. That enemy can retrieve it on their turn. If your enemy has more than one weapon, you can use additional stunts and accept additional Injuries to disarm them of multiple weapons.",
    source: "position",
    type: "fisherman",
    shinsu: false}, {name: "Bruiser",
    id: "BRUISER",
    description: "Add a number of dice equal to your Might Edge to your Brawl rolls.",
    source: "position",
    type: "fisherman",
    shinsu: false}, {name: "Damage Sponge",
    id: "DAMAGE_SPONGE",
    description: "You can accept one Stress and one Confusion to heal yourself of a number of Injuries equal to your Might Edge. You cannot use this while Dying. You can only use this once per turn.",
    source: "position",
    type: "fisherman",
    shinsu: false}, {name: "Reel",
    id: "REEL",
    description: "You can use a reel, a length of cord or cable that attaches to one end of your weapon. By using shinsu to stiffen or manipulate the line, you can control the weapon almost like you were holding it. While using a reel, you can use Brawl (and any associated stunts) at range, though you are Hindered on these rolls. The Reel has a maximum range of Medium.",
    source: "position",
    type: "fisherman",
    shinsu: true}, {name: "Defender",
    id: "DEFENDER",
    description: "When one of your allies in your reach is about to get attacked, you can choose to throw yourself in front of the attack and willingly take that hit instead of them. You can't choose to dodge or avoid the attack—however, you can attempt to block it. You have to see the attack coming in order to do this.",
    source: "position",
    type: "fisherman",
    shinsu: false}, {name: "Unmoving",
    id: "UNMOVING",
    description: "If an enemy's attack would move you from your position, knock you down, or in any other way move you against your will, you can accept one Injury instead.",
    source: "position",
    type: "fisherman",
    shinsu: false}, {name: "Counterattack",
    id: "COUNTERATTACK",
    description: "When struck by a melee attack, you can choose to double the initial Damage Base of the attack (before applying either Resistance or effects like the Crocodile Regular's Sharp, but after applying any stunts) to make an immediate counterattack against the enemy that hit you. You cannot apply the effects of any Weapon Skills, Sunder, Opening, Flurry, dual wielding, or Called Shot to this attack. This does not apply to an attack you block. If you have Bloodied Berserker or any similar ability, calculate your attack before applying damage from the enemy's attack.",
    source: "position",
    type: "fisherman",
    shinsu: false}, {name: "Reserves of Strength",
    id: "RESERVES_OF_STRENGTH",
    description: "By taking two Confusion and Stress per round, you can ignore the effects of the Weakened and Fragile conditions.",
    source: "position",
    type: "fisherman",
    shinsu: false}, {name: "Flourish",
    id: "FLOURISH",
    description: "Your stylish attacks inspire your allies. You can take one Confusion to treat a Brawl attack as though it was a Reach Out roll that gets half as many successes. It still counts as a Brawl roll for attacking an enemy.",
    source: "position",
    type: "fisherman",
    shinsu: false}, {name: "Challenger",
    id: "CHALLENGER",
    description: "On your turn, you can make a Manipulate roll (with a number of bonus dice equal to your Resistance Edge) against an enemy's Wits to force them to exclusively attack you for one minute (six combat rounds). If you fail this roll, you take an amount of Confusion equal to your Might Edge. This does not require your action.",
    source: "position",
    type: "fisherman",
    shinsu: false}, {name: "Living Wall",
    id: "LIVING_WALL",
    description: "Whenever an enemy attempts to move past you and passes through your melee range, you can take two Fatigue and make an attack against them. If you hit, they must immediately end their movement. You cannot apply the effects of Weapon Skills, Sunder, Opening, Flurry, dual wielding, or Called Shot to this attack.",
    source: "position",
    type: "fisherman",
    shinsu: false}, {name: "Bloodied Berserker",
    id: "BLOODIED_BERSERKER",
    description: "When making a Brawl roll, add half the number of Injuries you currently have to your Might for the purposes of determining the number of dice you roll and the damage you deal.",
    source: "position",
    type: "fisherman",
    shinsu: false}, {name: "Flurry",
    id: "FLURRY",
    description: "If you hit with a melee attack, you can accept two Injuries to immediately make another attack, which is Impaired 2 and has -1 automatic success. You can keep this up as long as you keep hitting and taking Harm. The penalties stack for each attack.",
    source: "position",
    type: "fisherman",
    shinsu: false}, {name: "Overwhelming Force",
    id: "OVERWHELMING_FORCE",
    description: "In order to buy this ability, either your Might or Resistance must be at least 50. When you make a Brawl roll, reroll all 1s. You may reroll them as many times as necessary to stop rolling 1s.",
    source: "position",
    type: "fisherman",
    shinsu: false}]</t>
  </si>
  <si>
    <t>var lightbearer = [{name: "Lighthouse",
    id: "LIGHTHOUSE",
    description: "You can use a Lighthouse, a small floating cube with a variety of functions. Which functions are available is affected by the rank of the Lighthouse. You can control a number of Lighthouses at one time equal to your Wits Edge. You can only control a Lighthouse as long as it stays within a certain range, which varies depending on the rank. The Lighthouse has an Agility equal to its controller's Wits. Any rolls you make using a Lighthouse receive bonus dice for each Lighthouse you use. The number of bonus dice depends on the rank of the Lighthouse.",
    source: "position",
    type: "lightbearer",
    shinsu: false}, {name: "Brains",
    id: "BRAINS",
    description: "Add your Wits Edge to your Think rolls.",
    source: "position",
    type: "lightbearer",
    shinsu: false}, {name: "Smooth Talker",
    id: "SMOOTH_TALKER",
    description: "Add your Wits Edge to your Manipulate rolls.",
    source: "position",
    type: "lightbearer",
    shinsu: false}, {name: "Calculator",
    id: "CALCULATOR",
    description: "Your Lighthouses can add half their dice bonus (rounded down, minimum 1 per Lighthouse) on any of your Think rolls.",
    source: "position",
    type: "lightbearer",
    shinsu: false}, {name: "Lighthouse Flow Control",
    id: "LIGHTHOUSE_FLOW_CONTROL",
    description: "With a Think roll against an enemy's Resistance, you can temporarily slow or pin them. With one success over their Resistance, you Slow them for one round. You can use a stunt to increase the duration by a round. Alternatively, you can use three times as many stunts (three as the base, plus three for each round past the first) to instead pin them for the duration. This uses your action. The enemy must be within Short range of one of your Lighthouses. This ability uses shinsu.",
    source: "position",
    type: "lightbearer",
    shinsu: true}, {name: "Emerald Sword",
    id: "EMERALD_SWORD",
    description: "You use the Lighthouse to gather shinsu around a melee weapon, boosting its power. Roll Think and add as many successes as you roll to the next attack with that weapon. For each round that passes between using this ability and making the attack, the number of successes decreases by one (minimum 0). This ability does not stack with any other uses of Emerald Sword; only the use that would grant the most successes remains. Using this ability requires your action. This ability uses shinsu.",
    source: "position",
    type: "lightbearer",
    shinsu: true}, {name: "Lighthouse Teleportation",
    id: "LIGHTHOUSE_TELEPORTATION",
    description: "You can accept one Confusion to teleport up to one person (or a similar mass of objects) between two Lighthouses you control. This requires an action. The person must be close enough to touch the Lighthouse. If the person does not want to be teleported, you make a Think roll against their Resistance and accept two additional Confusion. This ability uses shinsu.",
    source: "position",
    type: "lightbearer",
    shinsu: true}, {name: "Instant Teleport",
    id: "INSTANT_TELEPORT",
    description: "If you have the Lighthouse Teleportation ability, you can accept one additional Confusion (two total) to use the ability without using your action. Additionally, you can accept three additional Confusion (five total) to use the ability on someone else's turn. The cost is then multiplied by the number of times you've used this ability this round (plus one). I.e. if it's the first time you're using it, no multiplier.",
    source: "position",
    type: "lightbearer",
    shinsu: false}, {name: "Steer",
    id: "STEER",
    description: "You can use one or more Lighthouses to assist a ranged weapon, allowing that weapon's wielder to be much more accurate than they would be otherwise. When an ally makes a Throw roll, you can simultaneously make a Think roll and give all of your successes to your ally. They treat your successes as though they had rolled them. Using this ability gives you Confusion equal to your Wits Edge. You can use this ability when it isn't your turn, but it consumes your next action. This ability uses shinsu.",
    source: "position",
    type: "lightbearer",
    shinsu: true}, {name: "Hack",
    id: "HACK",
    description: "You can use a Lighthouse to hack into a Lighthouse that you don't control. The other Lighthouse must be within the range of yours. To hack it, you make a Think roll against the other Light Bearer's Think. If you win, you gain control of their Lighthouse and can access any data stored inside. This requires one full round of hacking. If they attempt to regain control of their Lighthouse (requiring another full round), they make another contested Think roll.",
    source: "position",
    type: "lightbearer",
    shinsu: false}, {name: "Unparalleled Insight",
    id: "UNPARALLELED_INSIGHT",
    description: "When speaking with someone and neither of you is in combat, you automatically know if they're lying or hiding something (but not necessarily what), with no roll required.",
    source: "position",
    type: "lightbearer",
    shinsu: false}, {name: "Light Wall",
    id: "LIGHT_WALL",
    description: "You can take one Confusion per Lighthouse (with a minimum of three) to form a wall with them. This requires your action to make, but not to maintain. The maximum distance between two adjacent Lighthouses is equal to one-tenth the range of said Lighthouses. While the walls between Lighthouses must be straight, the overall structure can have any number of angles—provided you control enough Lighthouses. Each section of wall has a Toughness equal to your Wits Edge and a Structure equal to your Heart Edge, both of which are multiplied by the number of Lighthouses used. While they're creating a wall, you can't use any of those Lighthouses. This ability uses shinsu.",
    source: "position",
    type: "lightbearer",
    shinsu: true}, {name: "Mystery Sphere",
    id: "MYSTERY_SPHERE",
    description: "By using a Lighthouse of at least rank B, your Lighthouse can create a large honeycomb sphere around a single enemy. Using this requires an action. Each of the interior surfaces of this sphere will, when touched, warp the enemy to a random other surface. At the beginning of each of the enemy's turns, roll Think; the Structure of the sphere during that turn is equal to ten times the number of successes on your roll. The Toughness of the sphere is equal to your Wits. Your Lighthouse must be within Close range of the chosen enemy. This ability uses shinsu.",
    source: "position",
    type: "lightbearer",
    shinsu: true}, {name: "Masterful Plan",
    id: "MASTERFUL_PLAN",
    description: "When something goes in an unexpected direction, you can declare that all is going according to plan and flashback to earlier, when you prepared for this by (for example) laying traps, gathering supplies, or in any other way preparing for your current situation.  In order to use this, you accept an amount of Confusion equal to twice your Wits Edge.",
    source: "position",
    type: "lightbearer",
    shinsu: false}, {name: "Overwhelming Mind",
    id: "OVERWHELMING_MIND",
    description: "In order to buy this ability, either your Wits or Heart must be at least 50. When you make a Think roll, reroll all 1s. You may reroll them as many times as necessary to stop rolling 1s.",
    source: "position",
    type: "lightbearer",
    shinsu: false}]</t>
  </si>
  <si>
    <t>var scout = [{name: "Observer",
    id: "OBSERVER",
    description: "You can summon a small flying robot called an Observer. You must purchase this Observer before you can use it. You need to use an action to summon the Observer, but not to control it. For the purposes of dodging and taking hits, the Observer has 10 Might and Agility equal to its controller's. This Observer can do the following: \n Record and transmit audio and video to an allied Lighthouse. \n Play recorded audio. \n Spread light in a small cone. \n Support the weight of a small child (maximum ~50 lb or ~20 kg).",
    source: "position",
    type: "scout",
    shinsu: false}, {name: "Advanced Observer",
    id: "ADVANCED_OBSERVER",
    description: "Adds the following abilities to the Observer. These abilities can't be used unless you possess an advanced Observer.\n Create a hologram up to human size within Close range. This hologram can move and is virtually indistinguishable from an imitated object or person. This ability can be used in conjunction with the basic ability to play recorded audio. The hologram does not have any physical substance. The hologram fools anyone who observes it unless they attempt to physically touch it.\n Slow creatures in a small cone for one round (this requires your action). The creatures must be within Close range.\n Counter the above slowing ability (this does not need to be done on your turn, but leaves you Hindered on any rolls taken as part of your next action).\n Support the weight of a single person",
    source: "position",
    type: "scout",
    shinsu: false}, {name: "Black Fish [Extended]",
    id: "BLACK_FISH_[EXTENDED]",
    description: "You can block the light around you, essentially becoming invisible. This uses your action when you start it, but not to continue using it. This requires using one bead per minute. If you don't have any beads, you can't use this ability. While invisible, sneaking using Finesse does not use an action. Any attempts to detect you are Hindered. Anyone targeting you is treated as Blinded unless they can pinpoint your position (with a successful Think roll), in which case they are Hindered.",
    source: "position",
    type: "scout",
    shinsu: true}, {name: "Sneaky",
    id: "SNEAKY",
    description: "Add your Agility Edge to your Finesse rolls.",
    source: "position",
    type: "scout",
    shinsu: false}, {name: "Speedy",
    id: "SPEEDY",
    description: "Add your Agility Edge to your Move rolls.",
    source: "position",
    type: "scout",
    shinsu: false}, {name: "Support Fighter",
    id: "SUPPORT_FIGHTER",
    description: "You can use Agility for Brawl rolls. Damage is still based on your Might Edge.",
    source: "position",
    type: "scout",
    shinsu: false}, {name: "Opening",
    id: "OPENING",
    description: "You can roll Brawl to force an enemy off-balance. You do not deal damage by default with this roll. Instead, you can give any number of your successes to the next person to attack the enemy before that enemy's next turn.. They treat these successes as though they had rolled them for all purposes. This uses your action.",
    source: "position",
    type: "scout",
    shinsu: false}, {name: "Feather Foot",
    id: "FEATHER_FOOT",
    description: "By taking one Fatigue per round, you can stand, run, and otherwise move on liquid surfaces.",
    source: "position",
    type: "scout",
    shinsu: false}, {name: "Spider Foot",
    id: "SPIDER_FOOT",
    description: "By taking two Fatigue per round, you can stand, run, and otherwise move on vertical surfaces or while upside down. You need to have Feather Foot before getting this ability.",
    source: "position",
    type: "scout",
    shinsu: false}, {name: "On Guard",
    id: "ON_GUARD",
    description: "If it is physically possible for you to notice a nearby enemy or ambush, you do so. If the enemy or ambusher is within Short range, you don't need to roll. If they're within Medium range, you must still roll Think against their Finesse. If the hiding enemy or ambusher is a Scout or has the Sneaky ability, you must still roll Think against their Finesse. If they're using Black Fish, you are not Hindered on that roll. For every minute that you're around a hiding enemy or ambusher, you can attempt to reroll a failed Think roll you made as part of this ability.",
    source: "position",
    type: "scout",
    shinsu: false}, {name: "Flow Like Water",
    id: "FLOW_LIKE_WATER",
    description: "When you roll to dodge an attack from an enemy with a lower Agility than your own, you do not take a penalty on later rolls to dodge.",
    source: "position",
    type: "scout",
    shinsu: false}, {name: "Sneak Attack",
    id: "SNEAK_ATTACK",
    description: "When you attack an enemy that isn't expecting your attack (they must either be unaware of your presence or consider you friendly), your attack deals double damage.",
    source: "position",
    type: "scout",
    shinsu: false}, {name: "Fall Silently",
    id: "FALL_SILENTLY",
    description: "When you attack an enemy that isn't expecting your attack (they must either be unaware of your presence or consider you friendly), your combat doesn't make any noise until the end of your target's turn (if they survive that long). This is considered a shinsu effect, but does not require a bead.",
    source: "position",
    type: "scout",
    shinsu: true}, {name: "Track",
    id: "TRACK",
    description: "You can look around a space and identify traces of past events. Roll Think; the number of successes you get is equal to the maximum number of hours passed since those events. If you take 5 Confusion, the number of successes you get is instead equal to the maximum number of days since those events. If someone is deliberately attempting to conceal or falsify their tracks, they roll Finesse and subtract their successes from yours.",
    source: "position",
    type: "scout",
    shinsu: false}, {name: "Overwhelming Speed",
    id: "OVERWHELMING_SPEED",
    description: "In order to buy this ability, either your Agility or Wits must be at least 50. When you make a Move roll, reroll all 1s. You may reroll them as many times as necessary to stop rolling 1s.",
    source: "position",
    type: "scout",
    shinsu: false}]</t>
  </si>
  <si>
    <t>var spearbearer = [{name: "Thrower",
    id: "THROWER",
    description: "Add either your Might Edge or your Agility Edge to your Throw rolls.",
    source: "position",
    type: "spearbearer",
    shinsu: false}, {name: "Stabber",
    id: "STABBER",
    description: "When using a spear or ranged weapon in melee, you increase your Brawl by an amount of dice equal to either your Agility Edge or Might Edge. Regardless of which one you choose, you still deal damage according to your Might.",
    source: "position",
    type: "spearbearer",
    shinsu: false}, {name: "Strong Arms",
    id: "STRONG_ARMS",
    description: "You can use Might for Throw instead of Agility.",
    source: "position",
    type: "spearbearer",
    shinsu: false}, {name: "Rapid Shot",
    id: "RAPID_SHOT",
    description: "As an action, you can roll Throw and divide your successes between any number of targets. You accept one Fatigue per attack you make with this ability.",
    source: "position",
    type: "spearbearer",
    shinsu: false}, {name: "Critical Shot",
    id: "CRITICAL_SHOT",
    description: "As an action, you can make a single ranged attack that deals double damage. When you use this, you accept an amount of Fatigue equal to your Agility Edge.",
    source: "position",
    type: "spearbearer",
    shinsu: false}, {name: "Aim",
    id: "AIM",
    description: "As an action, you can take careful aim. Your next Throw roll before the end of your next turn is made with twice as many dice as normal. This does not double any automatic successes you might have. If an effect would make you Hindered on a Throw roll, this negates that Hindered effect instead.",
    source: "position",
    type: "spearbearer",
    shinsu: false}, {name: "Get Over Here",
    id: "GET_OVER_HERE",
    description: "With a lucky throw, you can snag your target and pull them towards you. If you have a reel and a weapon with projectiles at least the size of an arrow, you can attach the reel to a projectile and fire it at an enemy. This is a normal Throw attack with no other modifiers, but cannot be used with Rapid Shot, Bending Spear Technique, or Called Shot. You can then use stunts to pull the target closer to you; four stunts to move them one range increment, twelve stunts to move them two increments, twenty-eight stunts to move them three increments, or sixty stunts to move them four increments.",
    source: "position",
    type: "spearbearer",
    shinsu: false}, {name: "Get Over There",
    id: "GET_OVER_THERE",
    description: "With a good arm and a little strain, you can throw allies about as well as weapons. If you have an ally and a weapon with projectiles at least the size of an arrow, you can attach the ally to a projectile and fire it wherever you want. This does not require a roll, but has a maximum range of one increment lower than your weapon's normal range.",
    source: "position",
    type: "spearbearer",
    shinsu: false}, {name: "Sight Without Eyes",
    id: "SIGHT_WITHOUT_EYES",
    description: "You can accept an amount of Confusion equal to your Wits Edge to ignore the Blinded Condition for a single ranged attack.",
    source: "position",
    type: "spearbearer",
    shinsu: false}, {name: "Disabling Shot",
    id: "DISABLING_SHOT",
    description: "You can make an attack with a ranged projectile weapon that sticks in an opponent's joints, muscles, or other important area. Until they use their entire turn to remove the projectile, they are Impaired on all rolls with a single attribute, decided when you make the attack (e.g. they could be Impaired on all Agility-based rolls). The magnitude of the Impaired effect is equal to twice your Agility Edge.",
    source: "position",
    type: "spearbearer",
    shinsu: false}, {name: "Delayed Shot",
    id: "DELAYED_SHOT",
    description: "You can set up a reel and a ranged weapon as a trap. When setting this up, roll an attack with the weapon, roll Think, and name a circumstance that will set off the attack. If someone else wants to find a trap afterwards, they have to roll Think against your initial Think roll. You automatically find any trap that you previously set. You cannot use Critical Shot, Aim, Bending Spear Technique, Lightning Strike, or any other ability that would cause you to accept Harm or use beads as part of the attack. The trap is immune to all conditions. The maximum number of traps you can have set up at once is equal to your Wits Edge.",
    source: "position",
    type: "spearbearer",
    shinsu: false}, {name: "Bending Spear Technique",
    id: "BENDING_SPEAR_TECHNIQUE",
    description: "By taking three Confusion, you can hit an enemy with a ranged attack even if you don't have a clear shot at that enemy. This can also get around the effects of Defender.",
    source: "position",
    type: "spearbearer",
    shinsu: false}, {name: "Focused Shot",
    id: "FOCUSED_SHOT",
    description: "When making a Throw attack, you can increase your Might Edge by half of your Wits Edge for the purposes of dealing damage.",
    source: "position",
    type: "spearbearer",
    shinsu: false}, {name: "Sniper",
    id: "SNIPER",
    description: "You can choose to treat the range increment of any ranged weapon you use as though it was one step higher—Close to Short, etc.",
    source: "position",
    type: "spearbearer",
    shinsu: false}, {name: "Overwhelming Accuracy",
    id: "OVERWHELMING_ACCURACY",
    description: "In order to buy this ability, either your Might or Agility must be at least 50. When you make a Throw roll, reroll all 1s. You may reroll them as many times as necessary to stop rolling 1s.",
    source: "position",
    type: "spearbearer",
    shinsu: false}]</t>
  </si>
  <si>
    <t>var wavecontroller = [{name: "Beads",
    id: "BEADS",
    description: "(you start with the Beads universal ability) 
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to:\n Ignore the limit on beads controlled for one Stress per round per bead.\n Create beads on somebody else's turn, at the cost of two Stress per bead. If you accept three additional Stress per bead, you can then use a single ability that uses beads and would normally require your action.",
    source: "position",
    type: "wavecontroller",
    shinsu: true}, {name: "Precision",
    id: "PRECISION",
    description: "Add your Heart Edge to your Attune rolls.",
    source: "position",
    type: "wavecontroller",
    shinsu: false}, {name: "Shinsu Wall [Extended]",
    id: "SHINSU_WALL_[EXTENDED]",
    description: "Use one or more beads to create a wall of energy, enough to block a hallway, that lasts one round. This requires using an action. It's impenetrable and has Structure and Toughness equal to your Heart Edge. You can create it anywhere within Short range. For each bead, you can choose one of the following options: \nThe wall deals a number of Injuries equal to your Heart Edge (minus their Resistance Edge) to anyone adjacent to it at the start of their turn. If you use an additional bead, the range of this effect increases to Close. \nIt slows anyone adjacent to it. If you use an additional bead, the range of this effect increases to Close. \nIncrease the Structure and Toughness by your Heart Edge. This requires one bead for the first use, two beads for the second, three beads for the third, and so on. \nIt lasts up to five rounds, or until you dismiss it (does not take an action, can only be done on your turn). Each additional bead gets another five rounds. \nThe wall's negative effects don't affect those you specify (up to a number of people equal to half your Heart). This includes the ability to pass through it without first breaking it.",
    source: "position",
    type: "wavecontroller",
    shinsu: true}, {name: "Quick Shield [Extended]",
    id: "QUICK_SHIELD_[EXTENDED]",
    description: "Use one or more beads to create a shield of shinsu. This can either take the form of a battle-ready shield, which can be used to block attacks (using your Attune instead of your Brawl), or a larger barrier to protect you and others from damaging large-scale attacks. In the first case, the shield does not require use of a hand and lasts until destroyed or dispelled, and has Structure and Toughness equal to half your Heart Edge times the number of beads used. In the second case, this ability requires using at least as many beads as the number of people you're protecting, lasts until the end of your next turn (unless destroyed or dispelled), cannot affect anyone outside Short range, and has Structure and Toughness equal to your Heart Edge times the number of beads used. This does not require an action. If you use this on somebody else's turn, you accept three Stress and Fatigue.",
    source: "position",
    type: "wavecontroller",
    shinsu: true}, {name: "Quick Weapon [Extended]",
    id: "QUICK_WEAPON_[EXTENDED]",
    description: "Use one or more beads to create a weapon from shinsu. This can take the form of any weapon, but does not have any special abilities. The weapon grants an amount of bonus dice equal to half the number of beads (rounded down), 10 Structure per bead, and 5 Toughness per bead. If your weapon can be used for both melee and ranged attacks, it only grants half the bonus dice to each type of roll (rounded up). This does not require an action. If you use this on somebody else's turn, you accept three Stress and Fatigue.",
    source: "position",
    type: "wavecontroller",
    shinsu: true}, {name: "Flare Wave Explosion",
    id: "FLARE_WAVE_EXPLOSION",
    description: "Touch an enemy (requiring a Brawl or Move roll) and roll Attune (using a bead) against their Resistance to deal Unresisted Injuries equal to your Heart Edge per success. You can simultaneously use an additional bead (and roll Attune again, though you are Hindered this time) to avoid taking the same damage. You can use this entire ability with one action. You only need one success (not counting automatic successes) on the second Attune roll.",
    source: "position",
    type: "wavecontroller",
    shinsu: true}, {name: "Reverse Flow Control [Extended]",
    id: "REVERSE_FLOW_CONTROL_[EXTENDED]",
    description: "Use one bead (requiring an Attune roll against the target's Resistance) to paralyze an enemy within Close range for one round. You can target Observers or Lighthouses using this; instead of rolling against your target's Resistance, you roll against their effective Agility (determined by their controller's Agility or Wits, respectively). If you successfully hit an Observer or Lighthouse, it's inoperable for one round and cannot move or have any abilities used through it. This uses your action. You can use stunts to extend the duration, at two stunts per round. You can use additional beads to extend the duration as well, at two beads per round. You cannot add beads afterwards.",
    source: "position",
    type: "wavecontroller",
    shinsu: true}, {name: "Shot",
    id: "SHOT",
    description: "You can shoot any number of beads at one or more enemies (dividing the beads as you wish between them). This requires an Attune roll (roll once per enemy), and can be dodged or blocked. If you can't see your target, you fail the roll. Treat this as a Throw roll with Damage Base equal to your Heart Edge minus each enemy's Resistance Edge. You cannot use more successes on a target than the number of beads you used on that target. This is a ranged weapon with a range of Short. Shooting a bead consumes it. This requires your action. Increasing the range counts as increasing the casting range of this ability.",
    source: "position",
    type: "wavecontroller",
    shinsu: true}, {name: "Magnify",
    id: "MAGNIFY",
    description: "Any ability you have that uses beads can be altered to reach farther, cover a wider area, or—in some cases—magnify the effect. \nCasting range: Abilities that do not, by default, include the caster in their area of effect or extend from the caster have a casting range. Using one additional bead, you can extend the casting range from your reach to Close. From Close to Short requires three beads, Short to Medium requires five beads, and Medium to Long requires 10 beads. You can increase by more than one step; to do so, add the additional bead costs together. Thus extending the casting range of an ability from Short to Long requires 15 beads. Abilities that require contact cannot have their casting range increased, unless they have some other way to increase the range to one of the normal increments. \nArea: If an ability would normally affect an area within reach, you can increase it to affect Close range by using three additional beads. You can increase the area from Close to Short range with seven additional beads, from Short to Medium range with 15 additional beads, and from Medium to Long range with 30 additional beads. Increases by more than one increment function the same as they do for casting range. Abilities that do not normally have an area of effect cannot gain one with this ability. \nDuration: For abilities that do not specify other ways to increase the duration, you can use any number of beads to increase the duration by the same number of rounds. You can do this at any point during the duration to increase it further, provided you're within the unaltered casting range. \nEffect: Some abilities may specify that they can have additional or different effects if you have this ability.",
    source: "position",
    type: "wavecontroller",
    shinsu: false}, {name: "Dispel",
    id: "DISPEL",
    description: "You can use a bead and make an Attune roll against an enemy's Attune to counter one shinsu-based effect they created. This uses your action. You have to either be within Short range of the effect or the creator. If you accept two Stress, you can use this on someone else's turn. Abilities that use beads automatically use shinsu.",
    source: "position",
    type: "wavecontroller",
    shinsu: true}, {name: "All-Encompassing Sight",
    id: "ALL-ENCOMPASSING_SIGHT",
    description: "Using an action, you can detect anyone within Short range who is capable of using shinsu, as well as their approximate direction. You can always tell when shinsu is being manipulated. You can even approximately tell where. You still need to roll to know what exactly is happening.",
    source: "position",
    type: "wavecontroller",
    shinsu: false}, {name: "Concussive Blast",
    id: "CONCUSSIVE_BLAST",
    description: "Using an action, you can use any number of beads to throw enemies away from you. This requires an Attune roll against their Resistance; if targeting more than one enemy, roll once and apply to each enemy's Resistance. You need at least one bead per enemy. This throws enemies back one range increment (within reach to Close, Close to Short, etc). If you have the Magnify ability, you can use more beads to throw them further—double the bead cost per enemy (including required beads for affecting further-away enemies) to throw them back two range increments, triple it to throw them back three range increments, and quadruple it if you need to throw someone from melee range to Long range.",
    source: "position",
    type: "wavecontroller",
    shinsu: true}, {name: "Territory",
    id: "TERRITORY",
    description: "By taking time to circulate your shinsu around the area, you can designate that area as your territory. While taking time in this way, you cannot use shinsu for any other purpose, nor can you engage in any activities that require concentration. The area remains your territory until you leave it and remain outside for at least as long as you took originally (i.e. if you took ten minutes to declare it your territory, it takes ten minutes to stop being your territory once you leave). Within that area, you gain bonus dice that apply to all Attune rolls, as well as Move, Finesse, Throw, and Brawl rolls while under the effects of Shinsu Reinforcement. The number of bonus dice, as well as the size of the area, are determined by the amount of time you take.\nOne minute: Within your reach. +1 die\nTen minutes: Close range. +5 dice\nOne hour: Short range. +10 dice\nOne day: Medium range. +25 dice\nOne month: Long range. +50 dice\nOne year: The entire floor. +100 dice",
    source: "position",
    type: "wavecontroller",
    shinsu: true}, {name: "Essence Drain",
    id: "ESSENCE_DRAIN",
    description: "Touch an enemy (requiring a Brawl or Move roll) and roll Attune (using a bead) against their Resistance to transfer up to two Stress per success from you to them. You cannot use more successes than you used beads. You cannot give them more Stress than you currently have. This requires an action.",
    source: "position",
    type: "wavecontroller",
    shinsu: true}, {name: "Overwhelming Control",
    id: "OVERWHELMING_CONTROL",
    description: "In order to buy this ability, either your Heart or Agility must be at least 50. When you make an Attune roll, reroll all 1s. You may reroll them as many times as necessary to stop rolling 1s.",
    source: "position",
    type: "wavecontroller",
    shinsu: false}]</t>
  </si>
  <si>
    <t>var human = [{name: "Trained",
    id: "TRAINED",
    description: "You increase all of your attributes by one.",
    source: "race",
    type: "human",
    shinsu: false}, {name: "Climber",
    id: "CLIMBER",
    description: "Whenever you go up a floor, you gain experience equal to half the floor (round down).",
    source: "race",
    type: "human",
    shinsu: false}, {name: "Why We Keep Going",
    id: "WHY_WE_KEEP_GOING",
    description: "You have a dream of some sort. Whenever you make progress towards this dream (other than going up the tower), gain experience equal to the highest floor you've reached. You can change your dream up to once per floor. When you do, you don't gain any experience the next time you make progress towards your dream. Changing your dream causes you to gain one Exhaustion. If you achieve your dream, you retire permanently. Suggestions for your dream:\n Someone I do/don't know killed my family/friends/lover. I need to get revenge.\n My family looks down on me. I need to prove to them what I can do.\n My friend/lover/family member went up the tower. I need to find them.\n This Tower isn't right. I want to change things.\n Someone I love is determined to climb the Tower. I'm going with them. If you want to choose this Dream, or one like it, discuss it with the other players (Regulars only). With their permission, choose one that this Dream applies to.\n [Partway up the tower] These are my friends now. I'm protecting them.",
    source: "race",
    type: "human",
    shinsu: false}, {name: "Savings",
    id: "SAVINGS",
    description: "Start with 5,000 credits.",
    source: "race",
    type: "human",
    shinsu: false}, {name: "Adaptable",
    id: "ADAPTABLE",
    description: "You don't start with this ability, but can buy it with experience as though it was a universal ability. Humans can survive and thrive anywhere—blazing heat, freezing cold, toxins, predators, hazards, anywhere. You become immune to all poisons. You can survive in temperatures where most anyone else would freeze solid or burst into flame. You can go without food, water, or sleep for as long as you need to.",
    source: "race",
    type: "human",
    shinsu: false}]</t>
  </si>
  <si>
    <t>var crocodile = [{name: "Tough",
    id: "TOUGH",
    description: "You increase your Might and Resistance scores by 3. When you spend experience to increase either of these attributes, you increase that attribute by your Tier plus one.",
    source: "race",
    type: "crocodile",
    shinsu: false}, {name: "Big",
    id: "BIG",
    description: "You're unnaturally large. Your melee reach is twice a normal person's reach. However, you are Hindered on all Finesse rolls.",
    source: "race",
    type: "crocodile",
    shinsu: false}, {name: "Sharp",
    id: "SHARP",
    description: "You have claws. If you choose to use them, your Brawl attacks have their initial Damage Base increased by 1.These do not count as weapons.",
    source: "race",
    type: "crocodile",
    shinsu: false}, {name: "Live to Hunt",
    id: "LIVE_TO_HUNT",
    description: "Each time you fight a single opponent (i.e. fighting multiple at one time does not qualify), you gain experience equal to half their highest attribute (rounded down). This only applies once per person per month.",
    source: "race",
    type: "crocodile",
    shinsu: false}, {name: "Doesn't Hunt Money",
    id: "DOESN'T_HUNT_MONEY",
    description: "Start with 2,000 credits.",
    source: "race",
    type: "crocodile",
    shinsu: false}, {name: "Feral",
    id: "FERAL",
    description: "You don't start with this ability, but can buy it with experience as though it was a universal ability. Any Harm you deal while Fragile, Weakened, Anxious, or Volatile is increased by half (rounded down).",
    source: "race",
    type: "crocodile",
    shinsu: false}]</t>
  </si>
  <si>
    <t>var canine = [{name: "Born Fighter",
    id: "BORN_FIGHTER",
    description: "You increase your Might, Resistance, and Agility scores by 2. When you spend experience to increase any of these attributes, you increase that attribute by your Tier plus one.",
    source: "race",
    type: "canine",
    shinsu: false}, {name: "Implanted Weakness",
    id: "IMPLANTED_WEAKNESS",
    description: "Any attempt to influence or control your mental state to any degree automatically succeeds.",
    source: "race",
    type: "canine",
    shinsu: false}, {name: "Not Down Yet",
    id: "NOT_DOWN_YET",
    description: "Every time you become Fragile (maximum once per day) or gain an Exhaustion or Trauma, you gain experience equal to the highest floor you've reached. Additionally, taking strenuous actions while Fragile does not cause you to gain an Injury. You can continue to act normally while Dying; any strenuous actions while Dying still cause you to accept an Injury. You are immune to any instant-death effects of Called Shots.",
    source: "race",
    type: "canine",
    shinsu: false}, {name: "Transformation ",
    id: "TRANSFORMATION_",
    description: "You gain access to the Canine family's set of abilities. You need to purchase all of these abilities, as normal.",
    source: "race",
    type: "canine",
    shinsu: false}, {name: "Sink or Swim",
    id: "SINK_OR_SWIM",
    description: "Start with 2,000 credits.",
    source: "race",
    type: "canine",
    shinsu: false}]</t>
  </si>
  <si>
    <t>var silverdwarf = [{name: "The Path Forward",
    id: "THE_PATH_FORWARD",
    description: "When facing a decision of some sort, you can accept an amount of Confusion equal to your Wits Edge to roll Think and ask one question for every two successes.\n Which way is safest?\n Which way is fastest?\n What challenges lie in this direction?\n Any similar question about the immediate future.",
    source: "race",
    type: "silverdwarf",
    shinsu: false}, {name: "Pathfinder",
    id: "PATHFINDER",
    description: "Whenever you help someone find the correct path or help them with their journey, gain experience equal to their highest attribute minus the greatest type of Harm they currently have (minimum 1). This can only apply once per person per floor.",
    source: "race",
    type: "silverdwarf",
    shinsu: false}, {name: "Support of Your People",
    id: "SUPPORT_OF_YOUR_PEOPLE",
    description: "Start with 10,000 credits.",
    source: "race",
    type: "silverdwarf",
    shinsu: false}, {name: "Jury-Rig",
    id: "JURY-RIG",
    description: "You don't start with this ability, but can buy it with experience as though it was a universal ability. Sometimes you have to make do with junk. Given an hour or two, plus access to a decent amount of supplies, you can put together a tool or machine that can get the job done. One job, at least. Whatever you create doesn't grant bonus dice.",
    source: "race",
    type: "silverdwarf",
    shinsu: false}]</t>
  </si>
  <si>
    <t>var redwitch = [{name: "Where Fate Leads",
    id: "WHERE_FATE_LEADS",
    description: "You can accept an amount of Stress equal to half your Heart (rounded up) to roll Attune and ask one question for every two successes.\n What should I do to achieve my goal?\n How can I get to my destination?\n How dangerous is this path?\n Any similar question about the future.",
    source: "race",
    type: "redwitch",
    shinsu: false}, {name: "Guide",
    id: "GUIDE",
    description: "Whenever you guide someone where they need to go, and whenever a Regular changes their Dream because of you (directly or indirectly), gain experience equal to the total number of Harms they have. Calculate this after the Regular takes the Exhaustion for changing their Dream. Whenever someone takes Exhaustion or Trauma, or enters Weakened, Fragile, Anxious, or Volatile status because of advice or help you gave, gain experience equal to the Harms they have.",
    source: "race",
    type: "redwitch",
    shinsu: false}, {name: "Gifts",
    id: "GIFTS",
    description: "Start with 10,000 credits.",
    source: "race",
    type: "redwitch",
    shinsu: false}, {name: "Cassandra's Truth",
    id: "CASSANDRA'S_TRUTH",
    description: "You don't start with this ability, but can buy it with experience as though it was a universal ability. The more profound your words are, the more people distrust them. You can choose to take only half the normal Stress (rounded up) to use Where Fate Leads. Whatever answers you get, you have to convince others (with a Manipulate or Reach Out roll against their Think) for them to believe the truth of what you say.",
    source: "race",
    type: "redwitch",
    shinsu: false}]</t>
  </si>
  <si>
    <t>var noble = [{name: "Nepotism",
    id: "NEPOTISM",
    description: "You start off with up to two D-rank items, or any one C-rank item.",
    source: "race",
    type: "noble",
    shinsu: false}, {name: "Allowance",
    id: "ALLOWANCE",
    description: "Every week, you receive 300 credits times the highest floor you've reached (e.g after reaching floor 10 you receive 3,000 per week).",
    source: "race",
    type: "noble",
    shinsu: false}, {name: "Frowned Upon",
    id: "FROWNED_UPON",
    description: "If you attack any member of your noble family and the family finds out, you're disowned and stop getting your allowance.",
    source: "race",
    type: "noble",
    shinsu: false}, {name: "Bloodline",
    id: "BLOODLINE",
    description: "You can purchase a unique ability, depending on your family. When you make your character, choose a family to belong to. You gain their name and are allowed to purchase their ability.",
    source: "race",
    type: "noble",
    shinsu: false}, {name: "You Have Your Parents' Fire",
    id: "YOU_HAVE_YOUR_PARENTS'_FIRE",
    description: "Each family has an associated shinsu quality. If you ever gain the Shinsu Quality universal ability, any quality except the one associated with your family costs twice as much experience.",
    source: "race",
    type: "noble",
    shinsu: true}, {name: "Making the Family Proud",
    id: "MAKING_THE_FAMILY_PROUD",
    description: "The family you choose has an experience trigger. You gain that ability for free.",
    source: "race",
    type: "noble",
    shinsu: false}, {name: "Wealth",
    id: "WEALTH",
    description: "Start with 20,000 credits.",
    source: "race",
    type: "noble",
    shinsu: false}]</t>
  </si>
  <si>
    <t>var heir = [{name: "Royal Blood",
    id: "ROYAL_BLOOD",
    description: "Increase all of your attributes by three. Whenever you spend experience to increase one of your attributes, you increase that attribute by your Tier plus one. Start at Tier 2. You reach Tier 3 at the same time as the other races—after spending 5,000 experience.",
    source: "race",
    type: "heir",
    shinsu: false}, {name: "Competition",
    id: "COMPETITION",
    description: "Whenever you defeat another Heir or ensure they won't be a competitor, you gain experience equal to three times their highest attribute.",
    source: "race",
    type: "heir",
    shinsu: false}, {name: "Rich",
    id: "RICH",
    description: "Start with 50,000 credits.",
    source: "race",
    type: "heir",
    shinsu: false}, {name: "Watch Your Back",
    id: "WATCH_YOUR_BACK",
    description: "You don't start with this ability, but can buy it with experience as though it was a universal ability. All Harm you deal to another Royal Heir is doubled.",
    source: "race",
    type: "heir",
    shinsu: false}]</t>
  </si>
  <si>
    <t>var irregular = [{name: "Learn by Doing",
    id: "LEARN_BY_DOING",
    description: "When you are hit by a shinsu attack, you can choose to treat the damage from that as Unresisted and gain experience equal to the Harm you take.",
    source: "race",
    type: "irregular",
    shinsu: true}, {name: "Shake the Foundations of the Tower",
    id: "SHAKE_THE_FOUNDATIONS_OF_THE_TOWER",
    description: "Whenever you shake the status quo, you gain experience:\n Equal to the current floor for a tiny or temporary change.\n Equal to twice the current floor for a significant and long-lasting change.\n Equal to three times the current floor for a total upheaval.",
    source: "race",
    type: "irregular",
    shinsu: false}, {name: "Rapid Growth",
    id: "RAPID_GROWTH",
    description: "Increasing to Tier 2 happens at 250 experience instead of 500. Increasing to each further Tier multiplies the required total experience by 5 instead of by 10; 1,250 and 6,250 instead of 5,000 and 50,000.",
    source: "race",
    type: "irregular",
    shinsu: false}, {name: "Surprisingly Durable",
    id: "SURPRISINGLY_DURABLE",
    description: "At the beginning of the game, set your Resistance to 10.",
    source: "race",
    type: "irregular",
    shinsu: false}, {name: "Enter Alone",
    id: "ENTER_ALONE",
    description: "Start with no money.",
    source: "race",
    type: "irregular",
    shinsu: false}, {name: "Starting Small",
    id: "STARTING_SMALL",
    description: "During character creation, you do not receive free points to increase your attributes.",
    source: "race",
    type: "irregular",
    shinsu: false}, {name: "Natural Control",
    id: "NATURAL_CONTROL",
    description: "You don't start with this ability, but can buy it with experience as though it was a universal ability. You do not need to sign a contract to control shinsu.",
    source: "race",
    type: "irregular",
    shinsu: true}]</t>
  </si>
  <si>
    <t>var keene = [{name: "Cold-Hearted",
    id: "COLD-HEARTED",
    description: "Whenever you make a Wits-based roll, you automatically gain successes equal to your Wits Edge in addition to any you would gain from other sources. Whenever you make a Heart-based roll, you are Impaired by an amount equal to your Heart Edge.",
    source: "family",
    type: "keene",
    shinsu: false}]</t>
  </si>
  <si>
    <t>var trumbald = [{name: "Crafter",
    id: "CRAFTER",
    description: "You can create and refine items. Creating them requires materials costing half of the item's price. Improving them requires materials costing one-tenth of the item's price. Either use requires a full day. When you do this, make a Finesse or Think roll. The number of required successes is determined by the rank: making or improving an E-rank item requires five successes; a D-rank item requires ten successes; a C-rank item requires twenty successes; a B-rank item requires fifty successes; an A-rank item requires 100 successes; and a S-rank item requires two hundred successes. You can use stunts to: increase the Toughness by 1, increase the Structure by 2, increase the amount of bonus dice the item grants by 1, or decrease the time required to one-half of what it was (the first usage of this stunt reduces the time to eight hours, the second reduces the time to four hours, etc). If you do not have enough successes on this roll, you recover materials equal to half of what you invested.",
    source: "family",
    type: "trumbald",
    shinsu: false}]</t>
  </si>
  <si>
    <t>var haas = [{name: "Strongest Body",
    id: "STRONGEST_BODY",
    description: "When you use Shinsu Reinforcement, you increase your Might and Agility by an amount equal to one and a half times your Heart (rounded down) instead of an amount equal to your Heart. While taking Stress to increase the bonus, you add three times your Heart instead of twice.",
    source: "family",
    type: "haas",
    shinsu: true}]</t>
  </si>
  <si>
    <t>var lemarque  = [{name: "Capture",
    id: "CAPTURE",
    description: "You can use your action and accept Stress equal to twice your Heart Edge to attempt to exert your will over a divine fish within Short range. Make an Attune roll against the fish's Resistance (this roll is Impaired by an amount equal to their Heart plus their Wits if used against an intelligent creature). If you succeed, you have complete control over that fish for as long as you want, until either you fall unconscious for any reason, someone else uses this ability on the fish (which uses a Attune roll against your Attune), or you choose to release the fish.",
    source: "family",
    type: "lemarque ",
    shinsu: false}]</t>
  </si>
  <si>
    <t>var halleck  = [{name: "Made of Granite",
    id: "MADE_OF_GRANITE",
    description: "When you first take this ability, double your Resistance. Anything that would increase your Resistance (including spending experience) increases it by twice as much.",
    source: "family",
    type: "halleck ",
    shinsu: false}]</t>
  </si>
  <si>
    <t>var posada  = [{name: "Analysis",
    id: "ANALYSIS",
    description: "Through sheer intelligence, you've managed to partially replicate the essential ability of a Guide. You can ask the GM any one question. If you have the minimum information necessary to reach an answer through logic and thought, the GM answers you and you accept Confusion equal to your Wits Edge. If you don't have enough information, you accept Confusion equal to half your Wits Edge (round up).",
    source: "family",
    type: "posada ",
    shinsu: false}]</t>
  </si>
  <si>
    <t>var aven = [{name: "Family Swordsmanship",
    id: "FAMILY_SWORDSMANSHIP",
    description: "Through intense training and the revelation of some family secrets, your sword has stopped being a physical object, and is instead a shinsu-based manifestation of your skill and bloodlust. You can create a shinsu sword by taking one Stress. This does not require an action and does not need to happen on your turn. Bonuses that would normally only apply when wielding a physical sword apply when wielding your shinsu sword. Because your sword no longer has a physical form, it isn't as bound by the rules of reality, and tends to hit its target every time. Your attacks with the shinsu sword cannot be dodged by anyone with an Agility lower than your Heart, nor can they be blocked with anything that does not protect your target's entire body (e.g. a suit of armor would protect them, while an armor inventory would not). Your Damage Base with this is equal to your Might Edge plus half your Heart Edge. Your shinsu sword functions as both a blade and a needle for the purposes of Weapon Skills and other abilities.",
    source: "family",
    type: "aven",
    shinsu: true}]</t>
  </si>
  <si>
    <t>var yanetta = [{name: "Shrouded in Flame",
    id: "SHROUDED_IN_FLAME",
    description: "You can accept one Stress per round to become engulfed in your own fire. All enemies within your reach at the end of each of your turns, or who attack you in melee (this applies for each attack), take Injuries equal to your Heart Edge minus their Resistance Edge (minimum 1). While this is active you increase your Resistance by an amount equal to twice your Heart Edge. This doesn't require an action to activate, but must be activated on your turn.",
    source: "family",
    type: "yanetta",
    shinsu: false}]</t>
  </si>
  <si>
    <t>var universal = [{name: "Beads",
    id: "BEADS",
    description: "You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to:\n Ignore the limit on beads controlled for one Stress per round per bead.\n Create beads on somebody else's turn, at the cost of two Stress per bead. If you accept three additional Stress per bead, you can then use a single ability that uses beads and would normally require your action.",
    source: "any",
    type: "universal",
    shinsu: true}, {name: "Flight",
    id: "FLIGHT",
    description: "You can “swim” through the shinsu, effectively flying. You can only do this when your Heart is greater than one-fifth the current floor. You need to use a bead to begin using this ability, but not to continue using it. While flying in this way, you are Hindered on Brawl and Move rolls.",
    source: "any",
    type: "universal",
    shinsu: true}, {name: "Shinsu Reinforcement [Extended]",
    id: "SHINSU_REINFORCEMENT_[EXTENDED]",
    description: "You can use one bead and, for two rounds, act as though your Agility and Might were increased by an amount equal to your Heart. Using this requires an action. The bonus increases those attributes for all purposes, including bonus dice, automatic successes, Edges, and your maximum Injuries and Fatigue. By accepting Stress, you can increase the duration by one round per Stress. You can accept Stress to extend the duration on other rounds, not just the first; doing so does not require an action. Additionally, you can accept one Stress (per round) to instead act as though your Agility and Might were increased by twice your Heart instead. By using one additional bead (but without accepting any additional Stress), you can additionally reinforce one object you're holding to let it function as a weapon. This lasts for up to one round after you let go of it or until the entire effect ends, whichever comes first. While you're reinforcing the object, it has Structure and Toughness equal to half your Heart and acts as an appropriate weapon for all purposes (discuss with your GM what weapon would be appropriate).",
    source: "any",
    type: "universal",
    shinsu: true}, {name: "Superhuman Speed",
    id: "SUPERHUMAN_SPEED",
    description: "While you're boosted by Shinsu Reinforcement, you can accept an amount of Fatigue equal to twice your Agility Edge to take two actions in the same round. In order to buy this ability, your Agility must be at least 50.",
    source: "any",
    type: "universal",
    shinsu: false}, {name: "Superhuman Strength",
    id: "SUPERHUMAN_STRENGTH",
    description: "While you're boosted by Shinsu Reinforcement, you can accept a number of Injuries equal to twice your Might Edge to perform a feat of strength. Until the end of your turn, you make any Might-based rolls with three times as many dice. In order to buy this ability, your Might must be at least 50.",
    source: "any",
    type: "universal",
    shinsu: false}, {name: "Give it Everything",
    id: "GIVE_IT_EVERYTHING",
    description: "Once per week, you can accept one Exhaustion to briefly ignore your wounds. For the next thirty seconds (three rounds of combat), you cannot die by any means. Additionally, during that time being Weakened or Anxious does not Hinder your rolls and exceeding your limits on any type of Harm does not cause you to faint, collapse, break down, or die. After the round is over, you experience all the normal consequences of having Exhaustion, as well as any other Harm you may have accumulated.",
    source: "any",
    type: "universal",
    shinsu: false}, {name: "Long Life",
    id: "LONG_LIFE",
    description: "Exposure to shinsu and the conditions in which you've trained have kept you from aging. You cannot take this ability unless you have an attribute that's at least 50.",
    source: "any",
    type: "universal",
    shinsu: false}, {name: "Compression",
    id: "COMPRESSION",
    description: "Either by making a contract with the Administrator, or by using your own power, you can reduce your size or the size of your possessions. This is generally used when you or your weapons are too big to fit in most structures. Compressing yourself or an item requires a minute of concentration. Reversing this does not take an action. If applied to an object, anyone can reverse the effect, even without this ability. While compressed, you are Hindered on all Might rolls. Compressing a crocodile causes them to lose the Big ability while compressed. This ability uses shinsu.",
    source: "any",
    type: "universal",
    shinsu: false}, {name: "Up Close and Personal",
    id: "UP_CLOSE_AND_PERSONAL",
    description: "When you buy this ability, you can get any one of the following abilities at no extra cost:\nDisarm (Fisherman), Counterattack (Fisherman), Flurry (Fisherman), Support Fighter (Scout), or Opening (Scout). You can only buy this ability twice.",
    source: "any",
    type: "universal",
    shinsu: false}, {name: "Heal",
    id: "HEAL",
    description: "You can use any number of beads to repair a person's body. Each bead heals them of Injuries equal to your Heart Edge, or Fatigue equal to half your Heart Edge (rounded down). This requires ten seconds (one round of combat) per bead, but does not require an action. If you have the Magnify ability, you can increase the effectiveness of each round of healing—by using three beads, you can apply the healing benefits of two of them in one round. The additional bead cost increases linearly; tripling the effective healing speed requires five beads total, quadrupling requires seven beads total, etc. For the math nerds, the cost of healing with speed X is equal to 2X-1.",
    source: "any",
    type: "universal",
    shinsu: true}, {name: "Dual Training",
    id: "DUAL_TRAINING",
    description: "When you're wielding two or more weapons at once, add a number of dice equal to your Might Edge or Agility Edge to all attack rolls. This applies before calculating the effects of Hindered.",
    source: "any",
    type: "universal",
    shinsu: false}, {name: "Many-Weapon Training",
    id: "MANY-WEAPON_TRAINING",
    description: "When you're wielding more than two weapons at once, your attacks are Hindered and Impaired equal to the total number of attacks, instead of the normal penalty. You must have Dual Training to get this ability.",
    source: "any",
    type: "universal",
    shinsu: false}, {name: "Titan's Grip",
    id: "TITAN'S_GRIP",
    description: "You can wield a two-handed weapon in one hand without penalties, as though it was a one-handed weapon.",
    source: "any",
    type: "universal",
    shinsu: false}, {name: "Sharp as Broken Glass",
    id: "SHARP_AS_BROKEN_GLASS",
    description: "When your mind broke, the edges were left sharper. Increase your Edges by the number of Traumas you have. \nIt's not a good idea to refer to any traumatized person as broken. If you feel like you're broken, please find a therapist.",
    source: "any",
    type: "universal",
    shinsu: false}, {name: "Called Shot",
    id: "CALLED_SHOT",
    description: "Before you make a Brawl roll, Throw roll, or roll with the Shot ability (or any other ability that seems applicable), you can reduce your total dice by some amount to target a specific part of your enemy or their person. The penalty amount increases with the target's Tier. If you hit, you resolve the roll as normal and may also cause your enemy to suffer an additional effect. If you're using Rapid Shot, Shot, or another ability that allows you to make multiple attacks on separate targets, you can use these attacks to target multiple parts of the same enemy. \nArm: -(Tier) dice. The enemy is Hindered on Brawl rolls with that arm for the next two rounds. \nChest: -(Tier) dice. The enemy is Hindered on Agility rolls for the next two rounds. \nEye: -(5*Tier) dice. The enemy is Blinded for the next two rounds. \nHand: -(3*Tier) dice. The enemy is disarmed and is Hindered on Brawl rolls with that hand for the next two rounds. \nHead: -(3*Tier) dice. The enemy is Hindered on Wits rolls for the next two rounds. \nHeart: -(5*Tier) dice. The enemy takes additional Unresisted Injuries equal to their Might Edge. If your attack would leave them Fragile or worse, they die. \nLeg: -(Tier) dice. The enemy is Slowed for the next round unless they are flying. \nNeck: -(5*Tier) dice. The enemy can't speak for the next two rounds. If your attack would cause them to take at least as many Injuries as half their Might (after applying Resistance and other reductions), they die. \nVitals: -(3*Tier) dice. The enemy is Hindered on all rolls for the next round. \nArmor/Shield: -(Tier) dice. The enemy can't attempt to block this attack. \nWeapon: -(2*Tier) dice. The enemy can attempt to block this, but must choose another item to take the attack instead.",
    source: "any",
    type: "universal",
    shinsu: false}]var shinsu = [{name: "Shinsu Quality (Lightning)",
    id: "SHINSU_QUALITY_(LIGHTNING)",
    description: "If you deal any amount of Harm to a Lighthouse, Observer, or other electrical device (GM has the final say on what counts), it overloads and stops functioning for the next round.",
    source: "any",
    type: "shinsu",
    shinsu: true}, {name: "Lightning Strike",
    id: "LIGHTNING_STRIKE",
    description: "You can use two beads and accept Stress and Confusion equal to your Heart Edge and Wits Edge, respectively, to throw a spear made of lightning. You don't need a physical spear to make this attack. You can't use this attack with the abilities Called Shot, Rapid Shot, Impale, Critical Shot, or Disabling Shot. You can't use stunts with this attack except to deal additional Harm. All Harm caused by this attack is Unresisted. Attempts to dodge this attack are Hindered.",
    source: "any",
    type: "shinsu",
    shinsu: true}, {name: "Chain Lightning",
    id: "CHAIN_LIGHTNING",
    description: "You can use one or more beads to target a point within Short range; a number of enemies within Close range less than or equal to twice the number of beads used take Injuries equal to half your Heart minus half their Resistance.",
    source: "any",
    type: "shinsu",
    shinsu: true}, {name: "Bolt Rider",
    id: "BOLT_RIDER",
    description: "You can use a bead and take two Stress and Fatigue to move to any location you could reach in a straight line without hitting any solid objects. This uses either your movement or your action. You cannot use this more than once per round. Any attempts to sneak while using this are Hindered.",
    source: "any",
    type: "shinsu",
    shinsu: true}, {name: "Shinsu Quality (Wind)",
    id: "SHINSU_QUALITY_(WIND)",
    description: "You do not need to use a bead to use the Flight ability, and using it doesn't require an action. Flight still uses shinsu. Additionally, you are not Hindered on Brawl or Move rolls while airborne.",
    source: "any",
    type: "shinsu",
    shinsu: true}, {name: "Whirlwind [Extended]",
    id: "WHIRLWIND_[EXTENDED]",
    description: "You can use any number of beads to create a whirling wall of air around you that deflects almost any projectile. Whenever you're being targeted by a ranged attack, you can roll against it. You make this roll with as many dice as twice the number of beads you used. This lasts until the end of your next turn, and requires an action.",
    source: "any",
    type: "shinsu",
    shinsu: true}, {name: "Gust",
    id: "GUST",
    description: "You can use any number of beads to create a gust of wind. The wind is a line as wide as you that extends until it hits a large, solid object (to a maximum range of Short). Creatures that are hit by the gust take one Injury and one Fatigue for every three beads you use (reduced by their Resistance Edge, minimum one), and are Impaired by a number equal to the number of beads you use on all rolls for the next round.",
    source: "any",
    type: "shinsu",
    shinsu: true}, {name: "Still and Stir the Air",
    id: "STILL_AND_STIR_THE_AIR",
    description: "You can use a bead to manipulate the air currents around you within Short range. Depending on what you wish, you can amplify sounds and scents, or instead negate them.",
    source: "any",
    type: "shinsu",
    shinsu: true}, {name: "Shinsu Quality (Ice)",
    id: "SHINSU_QUALITY_(ICE)",
    description: "Any of your abilities that would slow enemies instead pin them for the first round and slow them for the rest of the duration.",
    source: "any",
    type: "shinsu",
    shinsu: true}, {name: "Ice Rink",
    id: "ICE_RINK",
    description: "You can use any number of beads to create a circular ice rink on the ground around you in Short range. It lasts for one round. While touching the ground, anyone who does not have the ice shinsu quality is Impaired on Move and Brawl rolls by a number equal to the number of beads you used and takes Fatigue equal to the number of beads you used minus their Resistance Edge at the start of each of their turns. This takes your action.",
    source: "any",
    type: "shinsu",
    shinsu: true}, {name: "Polar Midnight",
    id: "POLAR_MIDNIGHT",
    description: "Cool the area within Close range. This takes an action. All water freezes, everyone who isn't you takes three times your Heart Edge in Fatigue (reduced by their Resistance Edge), and all metallic objects become too cold to safely touch without protection. Anyone holding one takes Unresisted Injuries equal to three times your Heart Edge unless they drop the object.",
    source: "any",
    type: "shinsu",
    shinsu: true}, {name: "Frozen Grapeshot",
    id: "FROZEN_GRAPESHOT",
    description: "You can use an action and a bead to fire off a blast of razor-sharp shards of ice. Enemies in a cone within Close range take Injuries and Fatigue equal to twice your Heart Edge. Creatures in the area can attempt to dodge this, rolling against your Attune (if more than one creature is dodging, roll Attune once and compare that to all dodge rolls). If they successfully dodge, they instead take Injuries and Fatigue equal to your Heart Edge. Regardless, they reduce both types of incoming Harm by their Resistance Edge (minimum 1).",
    source: "any",
    type: "shinsu",
    shinsu: true}, {name: "Shinsu Quality (Fire)",
    id: "SHINSU_QUALITY_(FIRE)",
    description: "Whenever you would make an enemy take any number of Injuries, you also give them half that many Unresisted Injuries (rounded down) on their next turn. Calculate based on the post-mitigation Injuries. This does not apply to Injuries dealt by this ability. If you're underwater or in some other fire-resistant environment, this effect is negated (subject to GM interpretation).",
    source: "any",
    type: "shinsu",
    shinsu: true}, {name: "Inferno [Extended]",
    id: "INFERNO_[EXTENDED]",
    description: "You can use any number of beads to create a massive ball of flames, melting or incinerating just about everything nearby. On your first turn while using this ability, you cause all enemies within Short range to take Injuries equal to the number of beads used. On your second turn, the damage increases to be equal to twice the number of beads used. This continues until you're dealing damage equal to your Heart Edge per bead. You have to use your action each turn that you use this. If you already have this ability in use, you can add beads to it without using an action, which increases the damage.",
    source: "any",
    type: "shinsu",
    shinsu: true}, {name: "Fireball",
    id: "FIREBALL",
    description: "You can use any number of beads to create a small ball of fire that flies towards an area and explodes. It travels in a straight line and explodes when it hits any solid barrier or when it reaches its maximum range. Its maximum range is Medium. When it explodes, it deals two Injuries per bead to all creatures within Close range of it. The creatures can attempt to dodge this, rolling against your Attune (if more than one creature is dodging, roll Attune once and compare that to all dodge rolls). If they successfully dodge, they instead take one Injury per bead. The damage in both cases is reduced by their Resistance Edge (minimum one). This takes your action.",
    source: "any",
    type: "shinsu",
    shinsu: true}, {name: "Flare [Extended]",
    id: "FLARE_[EXTENDED]",
    description: "You can use one or more beads to create a light in a location within Close range. That light brightly illuminates the surrounding area out to Close range. If the light covers at least Short range, it is especially bright in closer areas. Everything in the range increments below its illumination range is revealed. All rolls to hide or sneak within that area are Hindered. This has no effect on invisible things. For example, if the light illuminates everything up to Long range, it reveals things up to Medium range. It lasts until dispelled or until you want the bead(s) back. If you have the Magnify ability and double the bead cost, you can overcharge the light, creating a bright flash capable of blinding people inside the area. Anyone inside the light's total area who doesn't intentionally avert their eyes (you are assumed to do so) is Blinded for the next round. The duration of the Blinded effect can't be increased.",
    source: "any",
    type: "shinsu",
    shinsu: true}, {name: "Shinsu Quality (Rock)",
    id: "SHINSU_QUALITY_(ROCK)",
    description: "Whenever someone makes a contested roll against one of your attributes, increase that attribute's Edge by half (rounded down). If this is dispelled, it returns at the end of your next turn.",
    source: "any",
    type: "shinsu",
    shinsu: true}, {name: "Stone Skin",
    id: "STONE_SKIN",
    description: "By taking one Stress per round (in addition to any other sources of Stress), Shinsu Reinforcement increases your Resistance by half of your Heart.",
    source: "any",
    type: "shinsu",
    shinsu: true}, {name: "Toughness",
    id: "TOUGHNESS",
    description: "Attacks that target you have a minimum Damage Base of 0.",
    source: "any",
    type: "shinsu",
    shinsu: true}, {name: "Closed Mind",
    id: "CLOSED_MIND",
    description: "You know what you're here to do, and you don't get distracted easily. You reduce any Confusion that you would take by your Resistance Edge, similar to Fatigue. If this is dispelled, it returns at the end of your next turn.",
    source: "any",
    type: "shinsu",
    shinsu: true}, {name: "Shinsu Quality (Water)",
    id: "SHINSU_QUALITY_(WATER)",
    description: "As long as you would get at least one automatic success on a roll, you get additional automatic successes on that roll equal to your Tier. If you would not, you instead get bonus dice on that roll equal to your Tier. If this is dispelled, it returns at the end of your next turn.",
    source: "any",
    type: "shinsu",
    shinsu: true}, {name: "Crashing Wave",
    id: "CRASHING_WAVE",
    description: "You can use one bead to shove an opponent around at range. You make an Attune roll and treat it as a Brawl roll. You need to be able to see your target. This has a maximum range of Medium. You don't get any bonuses that apply only to Brawl rolls or that apply only to weapon attacks. For this attack, your Damage Base is equal to half your Heart Edge (round up).",
    source: "any",
    type: "shinsu",
    shinsu: true}, {name: "Maelstrom [Extended]",
    id: "MAELSTROM_[EXTENDED]",
    description: "You can use any number of beads to create a whirling tempest of water around you. This has a radius of Short, and all creatures in the area (except you) take one Injury and Fatigue every round for each bead you use, as well as being Hindered on Move, Think, Finesse, and Throw rolls. This requires your action to start and to maintain, and you take one Stress every round it's active. Reduce the Harm dealt by each target's Resistance Edge.",
    source: "any",
    type: "shinsu",
    shinsu: true}, {name: "Purify Body",
    id: "PURIFY_BODY",
    description: "Whenever you would be affected by the Heal ability, or whenever you would use the Heal ability on another (including through wands), you heal 50% more (rounded up).",
    source: "any",
    type: "shinsu",
    shinsu: true}, {name: "Shinsu Quality (Steel)",
    id: "SHINSU_QUALITY_(STEEL)",
    description: "While wielding a weapon, you get +2 dice on Brawl rolls and take 2 fewer Injuries, Fatigue, Confusion, and Stress from all sources (to a minimum of 0). This does apply to Unresisted Harm. This does not apply to Harm you willingly accept as part of an ability. Apply this after calculating total damage from the source; do not apply this to the Damage Base. If this is dispelled, it returns at the end of your next turn.",
    source: "any",
    type: "shinsu",
    shinsu: true}, {name: "Placeholder",
    id: "PLACEHOLDER",
    description: "nothing",
    source: "any",
    type: "shinsu",
    shinsu: true}, {name: "Armed and Ready",
    id: "ARMED_AND_READY",
    description: "You can never be disarmed. Double the Toughness and Structure of any weapon, armor, Inventory, or reel you're wielding. If this is dispelled, it returns at the end of your next turn.",
    source: "any",
    type: "shinsu",
    shinsu: true}, {name: "Armor Storm",
    id: "ARMOR_STORM",
    description: "You can use your armor (including shield and armor inventories) offensively. At any time, including on somebody else’s turn, you can choose to start using your armor as a weapon. From that point until you choose to stop using it as a weapon (which can only be done on your turn), any rolls you make to block with it are Hindered and any rolls you make to attack with it gain bonus dice equal to half the dice it would normally grant (rounded down). If your armor does not normally grant dice to Block rolls, and functions some other way, then work with your GM to decide how to reduce the defensive powers of your armor (as a guideline, its defensive powers should be reduced by about half) and how to grant it offensive powers. You cannot switch between using your armor as a weapon and using it as armor more than once per turn (i.e. on a given turn, you can only stop using it as a weapon or start using it as a weapon).",
    source: "any",
    type: "shinsu",
    shinsu: true}]var fisherman = [{name: "Weapon Skills (Hook)",
    id: "WEAPON_SKILLS_(HOOK)",
    description: "While wielding a hook, you can use two stunts on a Brawl roll to stab your enemy and hold them in place. While they're held, they are Pinned unless they pull it out (requiring a Brawl roll against your Brawl) or tear it out, which causes them to take Unresisted Injuries equal to your Might Edge. Additionally, while you have them held you gain the following stunts for Brawl: pull your enemy anywhere within your reach; and twist the hook to make them Hindered on Wits and Heart rolls for the next round (using this stunt more than once doesn't increase its effects or duration in any way). While holding an enemy in this way, you can't use stunts to deal additional Harm with the hook.",
    source: "position",
    type: "fisherman",
    shinsu: false}, {name: "Weapon Skills (Needle)",
    id: "WEAPON_SKILLS_(NEEDLE)",
    description: "While wielding a needle, you can accept two Fatigue to make two melee attacks with one action. For every five dice you have to Brawl (not including automatic successes), you can accept another two Fatigue to make another attack in this way. You have to declare that you're doing this (and how many attacks you're making) before you start making attacks.",
    source: "position",
    type: "fisherman",
    shinsu: false}, {name: "Weapon Skills (Blade)",
    id: "WEAPON_SKILLS_(BLADE)",
    description: "While wielding a blade, you can hit additional enemies with the same roll. Each enemy has to be within your reach. You take two Fatigue for each enemy past the first attacked in this way.",
    source: "position",
    type: "fisherman",
    shinsu: false}, {name: "Weapon Skills (Bludgeon)",
    id: "WEAPON_SKILLS_(BLUDGEON)",
    description: "While wielding a blunt weapon, you can use Brawl stunts to knock an enemy down or back. Knocking an enemy down requires two stunts; that enemy is considered Slowed until the start of their turn. Knocking an enemy back requires two stunts to move them to Close range, six stunts to move them to Short range, fourteen stunts to move them to Medium range, and thirty stunts to move them to Long range. If they hit a solid barrier, or otherwise end their movement, they take 1d6 Injuries for every stunt used this way (e.g. moving them to Short range means they take 6d6 Injuries).",
    source: "position",
    type: "fisherman",
    shinsu: false}, {name: "Weapon Skills (Unarmed)",
    id: "WEAPON_SKILLS_(UNARMED)",
    description: "While you aren't wielding any other weapons (except gauntlets, handwraps, or other minimal weapons), blocking bare-handed does not cause you to take damage. If you block a ranged weapon bare-handed, you can catch any projectiles involved. This negates the effects of Rebound, if applicable. You can choose to attack as though you were dual wielding or using any additional number of weapons.",
    source: "position",
    type: "fisherman",
    shinsu: false}, {name: "Disarm",
    id: "DISARM",
    description: "With two stunts and by accepting two Injuries on a Brawl attack, you can knock an enemy's weapon out of their hands. It flies in a random direction and lands within Close range. That enemy can retrieve it on their turn. If your enemy has more than one weapon, you can use additional stunts and accept additional Injuries to disarm them of multiple weapons.",
    source: "position",
    type: "fisherman",
    shinsu: false}, {name: "Bruiser",
    id: "BRUISER",
    description: "Add a number of dice equal to your Might Edge to your Brawl rolls.",
    source: "position",
    type: "fisherman",
    shinsu: false}, {name: "Damage Sponge",
    id: "DAMAGE_SPONGE",
    description: "You can accept one Stress and one Confusion to heal yourself of a number of Injuries equal to your Might Edge. You cannot use this while Dying. You can only use this once per turn.",
    source: "position",
    type: "fisherman",
    shinsu: false}, {name: "Reel",
    id: "REEL",
    description: "You can use a reel, a length of cord or cable that attaches to one end of your weapon. By using shinsu to stiffen or manipulate the line, you can control the weapon almost like you were holding it. While using a reel, you can use Brawl (and any associated stunts) at range, though you are Hindered on these rolls. The Reel has a maximum range of Medium.",
    source: "position",
    type: "fisherman",
    shinsu: true}, {name: "Defender",
    id: "DEFENDER",
    description: "When one of your allies in your reach is about to get attacked, you can choose to throw yourself in front of the attack and willingly take that hit instead of them. You can't choose to dodge or avoid the attack—however, you can attempt to block it. You have to see the attack coming in order to do this.",
    source: "position",
    type: "fisherman",
    shinsu: false}, {name: "Unmoving",
    id: "UNMOVING",
    description: "If an enemy's attack would move you from your position, knock you down, or in any other way move you against your will, you can accept one Injury instead.",
    source: "position",
    type: "fisherman",
    shinsu: false}, {name: "Counterattack",
    id: "COUNTERATTACK",
    description: "When struck by a melee attack, you can choose to double the initial Damage Base of the attack (before applying either Resistance or effects like the Crocodile Regular's Sharp, but after applying any stunts) to make an immediate counterattack against the enemy that hit you. You cannot apply the effects of any Weapon Skills, Sunder, Opening, Flurry, dual wielding, or Called Shot to this attack. This does not apply to an attack you block. If you have Bloodied Berserker or any similar ability, calculate your attack before applying damage from the enemy's attack.",
    source: "position",
    type: "fisherman",
    shinsu: false}, {name: "Reserves of Strength",
    id: "RESERVES_OF_STRENGTH",
    description: "By taking two Confusion and Stress per round, you can ignore the effects of the Weakened and Fragile conditions.",
    source: "position",
    type: "fisherman",
    shinsu: false}, {name: "Flourish",
    id: "FLOURISH",
    description: "Your stylish attacks inspire your allies. You can take one Confusion to treat a Brawl attack as though it was a Reach Out roll that gets half as many successes. It still counts as a Brawl roll for attacking an enemy.",
    source: "position",
    type: "fisherman",
    shinsu: false}, {name: "Challenger",
    id: "CHALLENGER",
    description: "On your turn, you can make a Manipulate roll (with a number of bonus dice equal to your Resistance Edge) against an enemy's Wits to force them to exclusively attack you for one minute (six combat rounds). If you fail this roll, you take an amount of Confusion equal to your Might Edge. This does not require your action.",
    source: "position",
    type: "fisherman",
    shinsu: false}, {name: "Living Wall",
    id: "LIVING_WALL",
    description: "Whenever an enemy attempts to move past you and passes through your melee range, you can take two Fatigue and make an attack against them. If you hit, they must immediately end their movement. You cannot apply the effects of Weapon Skills, Sunder, Opening, Flurry, dual wielding, or Called Shot to this attack.",
    source: "position",
    type: "fisherman",
    shinsu: false}, {name: "Bloodied Berserker",
    id: "BLOODIED_BERSERKER",
    description: "When making a Brawl roll, add half the number of Injuries you currently have to your Might for the purposes of determining the number of dice you roll and the damage you deal.",
    source: "position",
    type: "fisherman",
    shinsu: false}, {name: "Flurry",
    id: "FLURRY",
    description: "If you hit with a melee attack, you can accept two Injuries to immediately make another attack, which is Impaired 2 and has -1 automatic success. You can keep this up as long as you keep hitting and taking Harm. The penalties stack for each attack.",
    source: "position",
    type: "fisherman",
    shinsu: false}, {name: "Overwhelming Force",
    id: "OVERWHELMING_FORCE",
    description: "In order to buy this ability, either your Might or Resistance must be at least 50. When you make a Brawl roll, reroll all 1s. You may reroll them as many times as necessary to stop rolling 1s.",
    source: "position",
    type: "fisherman",
    shinsu: false}]var lightbearer = [{name: "Lighthouse",
    id: "LIGHTHOUSE",
    description: "You can use a Lighthouse, a small floating cube with a variety of functions. Which functions are available is affected by the rank of the Lighthouse. You can control a number of Lighthouses at one time equal to your Wits Edge. You can only control a Lighthouse as long as it stays within a certain range, which varies depending on the rank. The Lighthouse has an Agility equal to its controller's Wits. Any rolls you make using a Lighthouse receive bonus dice for each Lighthouse you use. The number of bonus dice depends on the rank of the Lighthouse.",
    source: "position",
    type: "lightbearer",
    shinsu: false}, {name: "Brains",
    id: "BRAINS",
    description: "Add your Wits Edge to your Think rolls.",
    source: "position",
    type: "lightbearer",
    shinsu: false}, {name: "Smooth Talker",
    id: "SMOOTH_TALKER",
    description: "Add your Wits Edge to your Manipulate rolls.",
    source: "position",
    type: "lightbearer",
    shinsu: false}, {name: "Calculator",
    id: "CALCULATOR",
    description: "Your Lighthouses can add half their dice bonus (rounded down, minimum 1 per Lighthouse) on any of your Think rolls.",
    source: "position",
    type: "lightbearer",
    shinsu: false}, {name: "Lighthouse Flow Control",
    id: "LIGHTHOUSE_FLOW_CONTROL",
    description: "With a Think roll against an enemy's Resistance, you can temporarily slow or pin them. With one success over their Resistance, you Slow them for one round. You can use a stunt to increase the duration by a round. Alternatively, you can use three times as many stunts (three as the base, plus three for each round past the first) to instead pin them for the duration. This uses y</t>
  </si>
  <si>
    <t>Transformation</t>
  </si>
  <si>
    <t>posada</t>
  </si>
  <si>
    <t>lemarque</t>
  </si>
  <si>
    <t>halleck</t>
  </si>
  <si>
    <t>stage</t>
  </si>
  <si>
    <t>Mobility 1</t>
  </si>
  <si>
    <t>Mobility 2</t>
  </si>
  <si>
    <t>Mobility 3</t>
  </si>
  <si>
    <t>Mobility 4</t>
  </si>
  <si>
    <t>Mobility 5</t>
  </si>
  <si>
    <t>Mobility 6</t>
  </si>
  <si>
    <t>Mobility 7</t>
  </si>
  <si>
    <t>You get twice as many dice to Move rolls as normal, but only when on foot. You can only choose this once.</t>
  </si>
  <si>
    <t>You get twice as many dice to Move rolls as normal, but only when on foot.\n You also gain the ability to slowly fly, swim, or burrow. Pick one; you are Hindered on Brawl and Move when in that situation. If you choose swimming or burrowing, you can breathe underwater or underground, respectively. \n You must first have Mobility 1 to pick this, and you can only choose this once.</t>
  </si>
  <si>
    <t>In addition to the benefits of Mobility 2, choose one additional option from that ability (flying, swimming, or burrowing). You are no longer Hindered when moving in those ways. You must first have Mobility 2 to pick this, and you can only choose this once.</t>
  </si>
  <si>
    <t>In addition to the benefits of Mobility 3, you gain the remaining option from Mobility 2. The benefit of Mobility 1 now applies when not on foot. You must have Mobility 3 to \n You get twice as many dice to Move rolls as normal.\n You gain the ability to slowly fly, swim, or burrow, and you can breathe underwater or underground. You are Hindered on Brawl when in that situation</t>
  </si>
  <si>
    <t>Anything that would slow you doesn’t have that effect, and anything that would paralyze you instead slows you for the same duration.\n You get twice as many dice to Move rolls as normal.\n You gain the ability to slowly fly, swim, or burrow, and you can breathe underwater or underground. You are Hindered on Brawl when in that situation</t>
  </si>
  <si>
    <t>You can no longer be slowed or paralyzed\n You get twice as many dice to Move rolls as normal.\n You gain the ability to slowly fly, swim, or burrow, and you can breathe underwater or underground. You are Hindered on Brawl when in that situation</t>
  </si>
  <si>
    <t>Instead of rolling twice as many dice with Move, you roll three times as many. \n Additionally, dodging multiple times in one round doesn’t reduce your bonus.</t>
  </si>
  <si>
    <t>When you first choose this, pick the form you want your weapon to take. \nIf your chosen weapon is ranged, you also need to pick a maximum range. \nIf your chosen weapon is melee, it takes the form of a one-handed weapon. \nWhen you use this weapon to attack, you get a number of bonus dice equal to your highest Edge and your Damage Base is increased by 2.</t>
  </si>
  <si>
    <t xml:space="preserve">If your chosen weapon is ranged, you also need to pick a maximum range. \nIf your chosen weapon is melee, it takes the form of a one-handed weapon. \nWhen you use this weapon to attack, you get a number of bonus dice equal to your highest Edge and your Damage Base is increased by 2.\nYour weapon also deals Fatigue, Confusion, and Stress equal to your highest Edge minus the enemy's Resistance Edge. </t>
  </si>
  <si>
    <t xml:space="preserve">If you chose a melee weapon, you can now have it function as a two-handed weapon, or as many one-handed weapons as you can wield. 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highest Edge and your Damage Base is increased by 2.\nYour weapon also deals Fatigue, Confusion, and Stress equal to your highest Edge minus the enemy's Resistance Edge. </t>
  </si>
  <si>
    <t xml:space="preserve">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highest Edge and your Damage Base is increased by 6.\nYour weapon also deals Fatigue, Confusion, and Stress equal to three times your highest Edge, minus the enemy's Resistance Edge. \nThe extra Harm your weapon deals triples. </t>
  </si>
  <si>
    <t>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t>
  </si>
  <si>
    <t>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two times highest Edge and your Damage Base is increased by 6.\nYour weapon also deals Fatigue, Confusion, and Stress equal to three times your highest Edge, minus the enemy's Resistance Edge. \nThe extra Harm your weapon deals triples. \nWhenever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t>
  </si>
  <si>
    <t xml:space="preserve">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two times highest Edge and your Damage Base is increased by 6.\nYour weapon also deals Fatigue, Confusion, and Stress equal to three times your highest Edge, minus the enemy's Resistance Edge. \nThe extra Harm your weapon deals triples.\nWhenever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turn.\nAll damage your weapon deals is doubled. This includes the base damage, damage dealt through stunts, extra damage from Weapon 4, and any other damage dealt through your weapon. </t>
  </si>
  <si>
    <t>Weapon 1</t>
  </si>
  <si>
    <t>Weapon 2</t>
  </si>
  <si>
    <t>Weapon 3</t>
  </si>
  <si>
    <t>Weapon 4</t>
  </si>
  <si>
    <t>Weapon 5</t>
  </si>
  <si>
    <t>Weapon 6</t>
  </si>
  <si>
    <t>Weapon 7</t>
  </si>
  <si>
    <t>var canine_abilities = [{name: "Mobility 1",
    id: "MOBILITY_1",
    description: "You get twice as many dice to Move rolls as normal, but only when on foot. You can only choose this once.",
    source: "race",
    type: "canine",
    stage: 1}, {name: "Mobility 2",
    id: "MOBILITY_2",
    description: "You get twice as many dice to Move rolls as normal, but only when on foot.\n You also gain the ability to slowly fly, swim, or burrow. Pick one; you are Hindered on Brawl and Move when in that situation. If you choose swimming or burrowing, you can breathe underwater or underground, respectively. \n You must first have Mobility 1 to pick this, and you can only choose this once.",
    source: "race",
    type: "canine",
    stage: 2}, {name: "Mobility 3",
    id: "MOBILITY_3",
    description: "In addition to the benefits of Mobility 2, choose one additional option from that ability (flying, swimming, or burrowing). You are no longer Hindered when moving in those ways. You must first have Mobility 2 to pick this, and you can only choose this once.",
    source: "race",
    type: "canine",
    stage: 3}, {name: "Mobility 4",
    id: "MOBILITY_4",
    description: "In addition to the benefits of Mobility 3, you gain the remaining option from Mobility 2. The benefit of Mobility 1 now applies when not on foot. You must have Mobility 3 to \n You get twice as many dice to Move rolls as normal.\n You gain the ability to slowly fly, swim, or burrow, and you can breathe underwater or underground. You are Hindered on Brawl when in that situation",
    source: "race",
    type: "canine",
    stage: 4}, {name: "Mobility 5",
    id: "MOBILITY_5",
    description: "Anything that would slow you doesn’t have that effect, and anything that would paralyze you instead slows you for the same duration.\n You get twice as many dice to Move rolls as normal.\n You gain the ability to slowly fly, swim, or burrow, and you can breathe underwater or underground. You are Hindered on Brawl when in that situation",
    source: "race",
    type: "canine",
    stage: 5}, {name: "Mobility 6",
    id: "MOBILITY_6",
    description: "You can no longer be slowed or paralyzed\n You get twice as many dice to Move rolls as normal.\n You gain the ability to slowly fly, swim, or burrow, and you can breathe underwater or underground. You are Hindered on Brawl when in that situation",
    source: "race",
    type: "canine",
    stage: 6}, {name: "Mobility 7",
    id: "MOBILITY_7",
    description: "Instead of rolling twice as many dice with Move, you roll three times as many. \n Additionally, dodging multiple times in one round doesn’t reduce your bonus.",
    source: "race",
    type: "canine",
    stage: 7}, {name: "Weapon 1",
    id: "WEAPON_1",
    description: "When you first choose this, pick the form you want your weapon to take. \nIf your chosen weapon is ranged, you also need to pick a maximum range. \nIf your chosen weapon is melee, it takes the form of a one-handed weapon. \nWhen you use this weapon to attack, you get a number of bonus dice equal to your highest Edge and your Damage Base is increased by 2.",
    source: "race",
    type: "canine",
    stage: 1}, {name: "Weapon 2",
    id: "WEAPON_2",
    description: "If your chosen weapon is ranged, you also need to pick a maximum range. \nIf your chosen weapon is melee, it takes the form of a one-handed weapon. \nWhen you use this weapon to attack, you get a number of bonus dice equal to your highest Edge and your Damage Base is increased by 2.\nYour weapon also deals Fatigue, Confusion, and Stress equal to your highest Edge minus the enemy's Resistance Edge. ",
    source: "race",
    type: "canine",
    stage: 2}, {name: "Weapon 3",
    id: "WEAPON_3",
    description: "If you chose a melee weapon, you can now have it function as a two-handed weapon, or as many one-handed weapons as you can wield. 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highest Edge and your Damage Base is increased by 2.\nYour weapon also deals Fatigue, Confusion, and Stress equal to your highest Edge minus the enemy's Resistance Edge. ",
    source: "race",
    type: "canine",
    stage: 3}, {name: "Weapon 4",
    id: "WEAPON_4",
    description: "If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highest Edge and your Damage Base is increased by 6.\nYour weapon also deals Fatigue, Confusion, and Stress equal to three times your highest Edge, minus the enemy's Resistance Edge. \nThe extra Harm your weapon deals triples. ",
    source: "race",
    type: "canine",
    stage: 4}, {name: "Weapon 5",
    id: "WEAPON_5",
    description: "Whenever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
    source: "race",
    type: "canine",
    stage: 5}, {name: "Weapon 6",
    id: "WEAPON_6",
    description: "If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two times highest Edge and your Damage Base is increased by 6.\nYour weapon also deals Fatigue, Confusion, and Stress equal to three times your highest Edge, minus the enemy's Resistance Edge. \nThe extra Harm your weapon deals triples. \nWhenever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
    source: "race",
    type: "canine",
    stage: 6}, {name: "Weapon 7",
    id: "WEAPON_7",
    description: "If you chose a melee weapon, you can now have it function as a two-handed weapon, or as many one-handed weapons as you can wield. \nYou must make this choice when transforming—if you wish to change, you have to revert to your base form and transform again. \nIf you chose a ranged weapon, you can adjust the maximum range of your weapon on the fly. This does not require an action, and can be done on another person’s turn. \nThe Dual Training, Bruiser, Thrower, and Stabber abilities now add dice equal to your highest Edge, not necessarily your Might or Agility Edge. \nWhen you use this weapon to attack, you get a number of bonus dice equal to your two times highest Edge and your Damage Base is increased by 6.\nYour weapon also deals Fatigue, Confusion, and Stress equal to three times your highest Edge, minus the enemy's Resistance Edge. \nThe extra Harm your weapon deals triples.\nWhenever you hit an enemy with your weapon, you become invigorated, and heal for an amount of Injuries or Fatigue equal to half your highest Edge. This does not apply if you don’t have Injuries equal to or greater than half your Might or Fatigue equal to or greater than half your Agility. If you are Fragile or Weakened, the healing doubles- it heals for an amount equal to your highest Edge. This can only heal you from Dying once per turn.\nAll damage your weapon deals is doubled. This includes the base damage, damage dealt through stunts, extra damage from Weapon 4, and any other damage dealt through your weapon. ",
    source: "race",
    type: "canine",
    stage: 7}]</t>
  </si>
  <si>
    <t>Name</t>
  </si>
  <si>
    <t>Type</t>
  </si>
  <si>
    <t>Tags</t>
  </si>
  <si>
    <t>Rank</t>
  </si>
  <si>
    <t>Location</t>
  </si>
  <si>
    <t>Description</t>
  </si>
  <si>
    <t>Dragonslayer Amulet</t>
  </si>
  <si>
    <t>Misc</t>
  </si>
  <si>
    <t>Non-Unique</t>
  </si>
  <si>
    <t>Alaric's Forces</t>
  </si>
  <si>
    <t>A cracked dragon scale set in a golden disc. Attacks you make ignore the Resistance of any dragons or dragonkind.</t>
  </si>
  <si>
    <t>Dragonslayer Greatshield</t>
  </si>
  <si>
    <t>Shield</t>
  </si>
  <si>
    <t>B</t>
  </si>
  <si>
    <t>This grants no dice to Brawl rolls made to block an attack. It has 500 Structure and 200 Toughness. If it becomes broken, it is fully repaired by the next day. [-25% damage from dragons]</t>
  </si>
  <si>
    <t>Dragonslayer Greataxe</t>
  </si>
  <si>
    <t>Weapon</t>
  </si>
  <si>
    <t>Blade, Non-Unique</t>
  </si>
  <si>
    <t>C</t>
  </si>
  <si>
    <t>While wielding this two-handed axe, your Brawl rolls are Impaired 2 (for a net of +0 dice), but increase your Damage Base by 2 and deal 2d6 Fatigue on a hit. You can hold the axe over your head, charge it with power, and then swing with enough force to devastate anything you hit. This requires an action and causes you to take Injuries and Fatigue equal to half your Might Edge (rounded down). You make a Brawl roll—as normal, your target can attempt to dodge, and they make that roll with 2 more dice. If you hit, you deal triple damage. This includes the base damage, all damage from other sources, and the passive additional damage the axe normally deals (increasing it to 6d6 Fatigue). Whether you hit or not, all creatures adjacent to your target (except you) take 2d6 Injuries (reduced by their Resistance Edge, minimum 1) and 1d6 Fatigue. If, instead, you take an action to charge the axe, then on a hit you deal quintuple damage (increasing the passive damage to 10d6 Fatigue), and all adjacent creatures take 4d6 Injuries (reduced by their Resistance Edge, minimum 1) and 2d6 Fatigue. [+50% damage to dragons]</t>
  </si>
  <si>
    <t>Dragonslayer's Crescent Axe</t>
  </si>
  <si>
    <t xml:space="preserve">While wielding this one-handed axe, your Brawl rolls are Impaired 1 (for a net of +1 dice), but deal 1d6 Fatigue on a hit and increase your Damage Base by 1. [+50% damage to dragons]
</t>
  </si>
  <si>
    <t>Ring of Knowledge</t>
  </si>
  <si>
    <t>Amos</t>
  </si>
  <si>
    <t>A ring studded with many brilliant small gems. Increases Wits by 15 and adds 5 dice to all Think rolls.</t>
  </si>
  <si>
    <t>Ring of Wonder</t>
  </si>
  <si>
    <t>Unique (thank god)</t>
  </si>
  <si>
    <t>D</t>
  </si>
  <si>
    <t>AshLocke</t>
  </si>
  <si>
    <t>Negates one attack per day. When this happens, roll twice.</t>
  </si>
  <si>
    <t>Rider's Wish-Ender</t>
  </si>
  <si>
    <t>Bow</t>
  </si>
  <si>
    <t>Attacks with this are made with a total of 5 bonus dice. Increase the Damage Base by 4. 1/3 (rounded up) of the total Injuries that you deal is converted to Stress. After applying that effect add 1d6 Stress.</t>
  </si>
  <si>
    <t>Scavenger's Curved Blade</t>
  </si>
  <si>
    <t>Blade</t>
  </si>
  <si>
    <t>Ben Styke</t>
  </si>
  <si>
    <t>A bloodstained sword with a jagged, uneven blade that tears at any cuts it makes. Attacks with this deal Unresisted Injuries equal to half your Might Edge (rounded down) at the beginning of each of the victim’s turns. This stops as soon as they receive any source of healing or take an action to bind the wound. The damage does not stack.</t>
  </si>
  <si>
    <t>Spear of Oreth</t>
  </si>
  <si>
    <t>Spear</t>
  </si>
  <si>
    <t>What started off as a broken staff used to focus a Wave Controller’s power was fused with a discarded needle after a battle (more accurately a massacre) with the deity of time. This melee spear grants the wielder a total of +5 dice on Brawl attacks, and +3 dice on rolls made to dodge or block.</t>
  </si>
  <si>
    <t>Chrysamere</t>
  </si>
  <si>
    <t>Blade, Two-Handed</t>
  </si>
  <si>
    <t>A</t>
  </si>
  <si>
    <t>Dave</t>
  </si>
  <si>
    <t>Total of 12 bonus dice. Durability of Yes. While wielding this, increase your Resistance by 20 and heal 1 Injury per round.</t>
  </si>
  <si>
    <t>Yorgh's Spear</t>
  </si>
  <si>
    <t>While wielding this, you can’t be paralyzed. Any effect that would paralyze you instead slows you.</t>
  </si>
  <si>
    <t>Ash Armor</t>
  </si>
  <si>
    <t>Armor</t>
  </si>
  <si>
    <t>Destroyed</t>
  </si>
  <si>
    <t>A tattered cloak over a set of leather armor with inlaid strips of some tough substance. The substance is the bone ash from an ancient group of warriors dedicated to protecting and caring for religious pilgrims. Imbued with a fair bit of magic, the armor regenerates quickly and blesses its wearer in a few ways. The armor has 50 Structure, 20 Toughness, and repairs itself entirely at the beginning of the wearer’s turn. As long as the armor is intact the wearer is immune to called shots to the arms, legs, or hands. Whenever an attack would make you take any amount of Injuries, you take only three-quarters as many (rounded down); the rest is dealt to the armor. Apply this effect before Resistance.</t>
  </si>
  <si>
    <t>Dragonscale Armor</t>
  </si>
  <si>
    <t>Dragon</t>
  </si>
  <si>
    <t>A full set of armor made with dragon scales. While wearing it, you are Hindered on Finesse rolls. Whenever an attack would make you take any amount of Injuries, you take only two-thirds as many (rounded down). The rest are dealt to the armor, which has Structure 200 and Toughness 250.</t>
  </si>
  <si>
    <t>Dragonrider's Halberd</t>
  </si>
  <si>
    <t>Spear, Blade, Dragon</t>
  </si>
  <si>
    <t>Attacks with this are made with 2 more dice (net +5). On a hit, 1/3 (rounded up) of the post-mitigation Injuries that you would deal are converted to Stress. After applying that effect, add another 1d6 Injuries and 1d6 Stress. [-25% damage to dragons]</t>
  </si>
  <si>
    <t>Godslayer's Greatsword</t>
  </si>
  <si>
    <t>S</t>
  </si>
  <si>
    <t>This greatsword has two blades that twist around each other and contain a black fire. Attacks with this are made with a total of +40 bonus dice and deal 5d6 Stress on a hit. [Wielder ignores the powers of deities. Sword can harm deities]</t>
  </si>
  <si>
    <t>Sootsword</t>
  </si>
  <si>
    <t>A longsword with a dappled red crossguard. While wielding this, you can use the Blood Cyclone ability. Blood Cyclone: You can draw your own blood with this, accepting any number of Injuries, and kick up a tornado of bloody ashes. At the end of each of your turns, enemies within Short range take Injuries. The number starts equal to the number you accepted originally, and decreases by 1 every round afterwards. When the number reaches 0, the tornado stops.</t>
  </si>
  <si>
    <t>The Flesh's Cleaver</t>
  </si>
  <si>
    <t>On hit, deals bonus Unresisted Injuries equal to twice your Might Edge and heals you for the same amount. Grants +10 dice on attacks.</t>
  </si>
  <si>
    <t>Wish-Ender</t>
  </si>
  <si>
    <t>Attacks with this are made with a total of 5 bonus dice. Increase your Damage Base with these attacks by 3. You can choose to draw the string further back, causing your shot to pierce through an enemy and attack multiple enemies in a line. Roll your attack and damage once and apply it to each enemy individually. This deals full damage to the first enemy, ⅔ damage (rounded up) to the second, 4/9 (⅔ of ⅔) damage to the third, and so on. If any of the targets mitigate at least half of the damage (i.e. their Resistance reduces it to half or less), you cannot hit any enemies past them.</t>
  </si>
  <si>
    <t>Lucky Knuckles</t>
  </si>
  <si>
    <t>Unarmed</t>
  </si>
  <si>
    <t>Drang? Maybe?</t>
  </si>
  <si>
    <t>These brass knuckles have the number 777 emblazoned across them. Attacks with this deal half the wielder’s Might Edge (rounded down) in d6s of Injuries. E.g. someone with a Might Edge of 6 would deal 3d6 Injuries. Additionally, every time a damage die rolls a 6, that die explodes. Roll it again (essentially turning it from 1d6 to 1d6+6). Continue doing this until you stop rolling 6s. The total of those dice is your Damage Base.</t>
  </si>
  <si>
    <t>Mago</t>
  </si>
  <si>
    <t>Spear, Needle, Two-Handed</t>
  </si>
  <si>
    <t>Duarte Keen</t>
  </si>
  <si>
    <t>Duarte Keene’s most powerful spear. Grants +100 dice on attacks with it. Pierces through all obstacles between the thrower and the target, including floors.</t>
  </si>
  <si>
    <t>Bloody Cuirass</t>
  </si>
  <si>
    <t>Emeve Haas</t>
  </si>
  <si>
    <t>A bloodstained breastplate. Whenever an attack would make you take any amount of Injuries, you take only half as many (rounded down). Apply this effect before Resistance. The rest are dealt to the armor, which has Structure 2000 and Toughness 500.</t>
  </si>
  <si>
    <t>Broken Sword</t>
  </si>
  <si>
    <t>A broadsword that broke off about a foot away from the hilt, leaving a cleaver-like weapon. Grants +5 dice total on attacks and deals 2d6 Fatigue and Stress on a hit. While wielding this, you can accept twice your Heart Edge in Stress to summon a spectral tailwind that enhances your abilities. This does not take your action, but can only be done on your turn. For the next minute, increase your Resistance and Agility by twice your Might Edge.</t>
  </si>
  <si>
    <t>Dragonhide Armor</t>
  </si>
  <si>
    <t>Evan</t>
  </si>
  <si>
    <t>A full set of armor made with a dragon’s hide. Whenever an attack would make you take any amount of Injuries, you take only three-quarters as many (rounded down). Apply this effect before Resistance. The rest are dealt to the armor, which has Structure 500, Toughness 100, and repairs itself each day.</t>
  </si>
  <si>
    <t>Fourth Degree</t>
  </si>
  <si>
    <t>Bludgeon</t>
  </si>
  <si>
    <t>Evankhell</t>
  </si>
  <si>
    <t>A mace that looks like it’s been melted and warped from heat. Used with one hand. Grants +10 dice on attacks. When the wielder strikes an enemy with an attack from this, the target takes as many Stress as the number of post-mitigation Injuries they take.</t>
  </si>
  <si>
    <t>Stormbrand</t>
  </si>
  <si>
    <t>Needle</t>
  </si>
  <si>
    <t>A trident with a branching pattern to its points that sparkles with electricity. The wielder is immune to all effects of weather and any effects of being underwater. The wielder can use the Flight ability without using a bead or an action and is not Hindered while doing so. Grants +10 dice on attacks.</t>
  </si>
  <si>
    <t>Sword of the Render</t>
  </si>
  <si>
    <t>A sinister greatsword made from a fear drake’s spine, with an edge like a rough saw. When an attack with this leaves an enemy Fragile (or dead) you heal two Stress.</t>
  </si>
  <si>
    <t>Archdrake Staff</t>
  </si>
  <si>
    <t>Floor 35, underground</t>
  </si>
  <si>
    <t>A shorter staff with semiprecious stones set into a head that looks like it's made of bone. Think and Attune rolls are made with either 5 more dice, or 20% more dice (rounded up), whichever is better.</t>
  </si>
  <si>
    <t>White Oar</t>
  </si>
  <si>
    <t>Blade, Needle, Two-Handed</t>
  </si>
  <si>
    <t>Hans Aven</t>
  </si>
  <si>
    <t>Hans Aven’s legendary sword. Grants +200 dice on attacks with it. Grants +100 dice on rolls made to block with it.</t>
  </si>
  <si>
    <t>Es Mentiras</t>
  </si>
  <si>
    <t>?????</t>
  </si>
  <si>
    <t>????????</t>
  </si>
  <si>
    <t>Helen</t>
  </si>
  <si>
    <t xml:space="preserve">A set of long, clawed fingers that attach themselves to a willing creature, replacing that creature’s normal fingers entirely. When attached, they appear identical to the wielder’s normal fingers to everyone the wielder doesn’t specifically designate. While attached, the wielder knows the location of all creatures in Short range who are concealing or disguising themselves in any way. Grant +10 dice on attacks.
</t>
  </si>
  <si>
    <t>Black Owl's Robe</t>
  </si>
  <si>
    <t>Hide</t>
  </si>
  <si>
    <t>A somewhat durable robe that belonged to a woodland man some time ago. Whenever an attack would make you take any amount of Injuries, you take only three-quarters as many (rounded down). Apply this effect before Resistance. If the remaining amount of Injuries (one-quarter the original) is greater than or equal to 100, this is broken until the next day. While wearing the robe, you can choose to look like a perfectly normal (if eccentrically dressed) human.</t>
  </si>
  <si>
    <t>Eternal Teacup</t>
  </si>
  <si>
    <t>Functionally indestructible thermos. Produces tea of the desired kind, flavor, temperature, etc (within reason).</t>
  </si>
  <si>
    <t>Beacon of the White Owl</t>
  </si>
  <si>
    <t>A round stone that glows faintly, and can be activated to glow much brighter (similar to the glow of a bright lantern). For those who don't have a Light Bearer, it's a lifesaver. While this is on your person, you recover 50% more Stress whenever you would do so.</t>
  </si>
  <si>
    <t>Black Dragon Sword</t>
  </si>
  <si>
    <t>Blade, Dragon</t>
  </si>
  <si>
    <t>Kat</t>
  </si>
  <si>
    <t>A jagged sword, meant to be wielded in one hand. If your Damage Base with this weapon would be less than 8, it is instead 8.</t>
  </si>
  <si>
    <t>Archdrake Chime</t>
  </si>
  <si>
    <t>Lake Witch</t>
  </si>
  <si>
    <t xml:space="preserve">A small, handheld bell. Ringing this normally produces a pretty ringing sound, like a normal bell. Infusing it with shinsu before ringing causes it to release a blast of power towards a point you can see (that can be a creature, an object, anything). This is a Control roll to hit the target (which can dodge, as normal), which doesn’t have any stunts. On a hit, it deals 5d6 Injuries and 5d6 Fatigue.
</t>
  </si>
  <si>
    <t>First Dragon Ring</t>
  </si>
  <si>
    <t xml:space="preserve">A ring with a small crest showing a curled dragon. While wearing this, increase all your attributes by 5.
</t>
  </si>
  <si>
    <t>Personal Space</t>
  </si>
  <si>
    <t xml:space="preserve">A compound bow with various strange attachments enabling it to fire at absurd ranges. Generates its own arrows. Grants +10 dice on attacks. When the wielder strikes an enemy with an attack from this, the enemy is metaphysically separated from their companions. For the next minute, whenever the target would be affected by a beneficial or neutral effect from someone that considers them an ally (or at least doesn’t consider them an enemy), the creature creating the effect must make a Reach Out roll against the target’s Resistance or have the effect fail to affect the target. The duration refreshes if the target is hit by another attack from this. This weapon has a range of Long.
</t>
  </si>
  <si>
    <t>Spin-Saw</t>
  </si>
  <si>
    <t>Hook</t>
  </si>
  <si>
    <t xml:space="preserve">A circular saw with long, jagged teeth on the end of a stick. The teeth allow this to act as a hook. If used with a reel, the spinning motions allow it to flow more easily than most weapons; instead of your attacks being Hindered, they are instead Impaired by an amount equal to your Might Edge.
</t>
  </si>
  <si>
    <t>Lightning's Justice</t>
  </si>
  <si>
    <t>Lambda</t>
  </si>
  <si>
    <t>A pair of slim gauntlets with complex copper circuitry clearly conspicuous. They conduct electrical shinsu really well, almost pulling it out of you. While wearing these, you can use Lighting Strike with any attack, without using an action or any beads. The Stress and Confusion costs to use Lightning Strike are halved (rounded up- if you would take 5 Stress, you instead take 3). While wearing these, you count as being unarmed for the purposes of beneficial abilities. These grant +10 dice on melee attacks.</t>
  </si>
  <si>
    <t>Sunshot</t>
  </si>
  <si>
    <t>Firearm</t>
  </si>
  <si>
    <t xml:space="preserve">Short range. Attacks with this are Impaired 2, which combines with the bonus dice from the weapon rank for a total of +3 dice. Increase your Damage Base by 3. When an attack with this weapon leaves an enemy Dying or dead, apply an attack with half the Damage Base to enemies within Close range of the target. If the AOE damage leaves an enemy Dying or dead, apply an attack with a quarter the Damage Base to enemies within Close range of that enemy. This continues until enemies stop becoming Dying.
</t>
  </si>
  <si>
    <t>Tailbone Short Sword</t>
  </si>
  <si>
    <t>While wielding this, you can take one Fatigue to release a blast, throwing back a single enemy. The enemy must be next to you, and it throws them ten feet away.</t>
  </si>
  <si>
    <t>Dragonrider Greatshield</t>
  </si>
  <si>
    <t>Nikkath</t>
  </si>
  <si>
    <t>This grants +3 dice to Brawl rolls made to block an attack. It has 100 Structure, 100 Toughness, and repairs itself entirely each day.</t>
  </si>
  <si>
    <t>Black Dragon Warpick</t>
  </si>
  <si>
    <t>Hook, Dragon</t>
  </si>
  <si>
    <t xml:space="preserve">A jagged one-handed hammer with a curved spike on the head. If your Damage Base with this weapon would be less than 9, it is instead 9.
</t>
  </si>
  <si>
    <t>Lingering Dragoncrest Ring</t>
  </si>
  <si>
    <t>Nikolaj</t>
  </si>
  <si>
    <t>A silver ring depicting a resting dragon on a blue background. Increase the duration of your shinsu abilities by two turns.</t>
  </si>
  <si>
    <t>Staff of Wisdom</t>
  </si>
  <si>
    <t>Adds 5 dice to Think and Attune rolls. Damage dealing Shinsu abilities deal an additional +1d6 Confusion.</t>
  </si>
  <si>
    <t>Ashstorm Armor</t>
  </si>
  <si>
    <t>Party A</t>
  </si>
  <si>
    <t>A tattered cloak over a set of leather armor with inlaid strips of some tough substance that crackle with lightning, sparks jumping between the strips. The substance is the bone ash from an ancient group of warriors dedicated to protecting and caring for religious pilgrims, mixed with the bone ash from storm dragons. Imbued with a fair bit of magic, the armor regenerates quickly and blesses its wearer in a few ways. The armor has 100 Structure, 40 Toughness, and repairs itself entirely at the beginning of the wearer’s turn. As long as the armor is intact the wearer is immune to called shots to the arms, legs, or hands. Whenever an attack would make you take any amount of Injuries, you take only half as many (rounded down). Apply this effect before Resistance. Apply the rest to the armor. When attacked in melee, your attacker takes 10 Injuries and Fatigue. Your melee attacks deal an equal amount of extra damage on a hit.</t>
  </si>
  <si>
    <t>Arms of Yidhra</t>
  </si>
  <si>
    <t>Arms Inventory</t>
  </si>
  <si>
    <t xml:space="preserve">An Arms Inventory that holds up to fourteen weapons. Once per turn, the wielder can switch weapons without using an action or movement.
[Currently holds 11+1/14- does not have flesh, web, or spiral. Also holds godslayer’s greatsword]
</t>
  </si>
  <si>
    <t>Drake Sword</t>
  </si>
  <si>
    <t>Needle, Blade, Dragon</t>
  </si>
  <si>
    <t xml:space="preserve">A shorter sword with a flared hilt and a slight curve. The wielder makes all Brawl rolls with ten dice, regardless of how many they’d normally roll. You can’t increase or decrease the number of dice in any way.
</t>
  </si>
  <si>
    <t>Doppleganger's Piercer</t>
  </si>
  <si>
    <t>A thin needle that always seems to look slightly different—though nobody can ever find something that actually is different. If the wielder hits an enemy with an attack with this, and that attack deals more than 0 Injuries (i.e. it is not reduced to 0 by Resistance or other effects), the wielder can instantly transform into the target. The transformation is enough to fool all mundane senses—there is no way to tell the difference through sight, sound, smell, taste, or touch. Their attributes, abilities, and equipment retain the same stats and effects. Their equipment (including this sword) changes to resemble the target. Additionally; when this transformation happens, roll a d6. If the result of that roll is even, the wielder and the target instantly switch places. Grants +10 dice on attacks.</t>
  </si>
  <si>
    <t>Hamstringer</t>
  </si>
  <si>
    <t xml:space="preserve">A blade with a wind-like pattern on the back. When this hits a target and that target takes an amount of Injuries, the target’s Agility is reduced by twice that amount for the purposes of how far they can move. Grants +10 dice on attacks.
</t>
  </si>
  <si>
    <t>Hangman's Noose</t>
  </si>
  <si>
    <t>A sturdy rope tied into a noose. The wielder can use the Fisherman ability Weapon Skills: Hook with this weapon. While using that ability, the target is considered Pinned and cannot escape with the normal methods; they can only escape by making an Agility or Might roll (minimum 15 successes. This roll is not affected by the Pinned condition) as an action. Grants +10 dice on attacks.</t>
  </si>
  <si>
    <t>Heartshadow</t>
  </si>
  <si>
    <t>An estoc with a gently waving blade and a protruding crossguard. While wielding this, you can use your action to make a single attack. If the attack hits, you become invisible until the end of your next turn. While invisible, your attacks with this deal double damage.</t>
  </si>
  <si>
    <t>Knowledge Above All</t>
  </si>
  <si>
    <t>Bow, Two-Handed</t>
  </si>
  <si>
    <t>A two-handed crossbow with a long, involved process for reloading. The default range on this is Medium. Generates its own bolts. Grants +10 dice on attacks. Requires using your movement or your action to reload. You can attack anything on the same floor as you as though it was in Medium range, provided you follow these restrictions: you must know the precise location of the target; there must be a clear path that the bolt can follow (this does not have to be a straight line) between the crossbow and the target.</t>
  </si>
  <si>
    <t>Plaguebringer</t>
  </si>
  <si>
    <t xml:space="preserve">A broadsword that faintly glows with a sickly green light. Grants +10 dice on attacks. When this strikes an enemy, that enemy is infected by a unique disease. When this strikes an enemy who is already infected, they are infected again and every enemy within Short range is also infected. Each time an enemy is infected, they take Harm at the beginning of each of their turns for the next minute; being infected again resets the timer. Each infected enemy takes 1 Injury, Fatigue, Confusion, and Stress for each time they were infected. All Harm dealt by this effect is Unresisted.
</t>
  </si>
  <si>
    <t>Skyward Blade</t>
  </si>
  <si>
    <t>This sword has a sky blue semi-translucent blade with a wing-like crossguard. Grants +10 dice on attacks. For one minute after using any single ability that would cause you to accept Stress equal to or greater than your Heart Edge, when making an attack with this increase your Damage Base by a quarter (rounded up). This does not stack with itself.</t>
  </si>
  <si>
    <t>Hawk Ring</t>
  </si>
  <si>
    <t>Party B</t>
  </si>
  <si>
    <t>A ring depicting a hawk in flight. It increases the range of all ranged attacks and abilities made by the user by one stage. This does not affect any attacks or abilities that target an area.</t>
  </si>
  <si>
    <t>Sun Princess Ring</t>
  </si>
  <si>
    <t>An ornate golden band said to once be owned by a Royal Heir. While conscious and not Fragile, the user heals half their Might Edge in injuries at the start of their turn.</t>
  </si>
  <si>
    <t>Bloodfiend's Fork</t>
  </si>
  <si>
    <t>A spear with three tines of bone. Grants +10 dice on attacks. While using this, you can accept Stress equal to twice your Heart Edge to increase your Might by a quarter. This lasts until you want it to stop. This does not take an action and can be done at any time. While this is active, you must use your action on your turn to make an attack with this weapon.</t>
  </si>
  <si>
    <t>Greatsword of Damnation</t>
  </si>
  <si>
    <t>A golden greatsword with barbs gently winding around the blade. Grants +10 dice on attacks. The wielder can use their action to make a leaping attack, making an instant movement towards their target (if necessary) and making a single Brawl attack with this weapon. If the attack hits, it deals damage as normal, then deals additional Unresisted Injuries equal to half the target's current Injuries.</t>
  </si>
  <si>
    <t>Tooth Whip</t>
  </si>
  <si>
    <t>A filthy whip littered with rotten, misshapen teeth. Every strike poisons the victim. Grants +10 dice on attacks and counts as a hook with a range of Short. Attacks with this that deal damage cause the target to take 10 Unresisted Fatigue at the start of each of their turns for the next 3 rounds. Additional attacks stack the damage and reset the timer.</t>
  </si>
  <si>
    <t>Dagger of Night</t>
  </si>
  <si>
    <t>Pippin</t>
  </si>
  <si>
    <t xml:space="preserve">A black dagger that has a strange dark mist rolling off it. While wielding this, you can see in darkness without any light, but are considered Blinded in bright light. While in total darkness, you can teleport once per turn to any location that doesn’t require you to cross through solid barriers or a brightly-lit area (i.e. must be in a contiguous area of darkness). While in darkness, this deals double damage (stacks with all other increases). Grants +10 dice on attacks.
</t>
  </si>
  <si>
    <t>Sacrificial Axe</t>
  </si>
  <si>
    <t>Hatchet used in an ancient sacrificial rite. Grants a total of +10 dice on attacks. If your target is Pinned or Paralyzed, your attack automatically hits and deals double damage. Whenever an enemy dies or becomes Fragile within Short range, you heal 2 Stress. When used in conjunction with something else, might have greater effects.</t>
  </si>
  <si>
    <t>Dragon Sage Hood</t>
  </si>
  <si>
    <t>Priscilla</t>
  </si>
  <si>
    <t>A blue and white hood. While wearing this, increase your Wits and Heart by ten each.</t>
  </si>
  <si>
    <t>Priscilla's Dagger</t>
  </si>
  <si>
    <t>If you deal (post-mitigation) Injuries to an enemy equal to their Might Edge with this dagger, they immediately take additional Unresisted Injuries equal to twice their Might Edge. This can only apply once per round per enemy.</t>
  </si>
  <si>
    <t>Dragonslayer Armor</t>
  </si>
  <si>
    <t>Roslyn</t>
  </si>
  <si>
    <t>A full set of plate armor. While wearing it, you are Hindered on Move and Finesse rolls. Whenever an attack would make you take any amount of Injuries or Fatigue, you take only one-quarter as many (rounded up). The rest are dealt to the armor, which has Structure 1000, Toughness 200, and repairs itself each day. [-25% damage from dragons]</t>
  </si>
  <si>
    <t>Hornet Ring</t>
  </si>
  <si>
    <t>A ring with a hornet emblazoned upon it. Harm dealt to an enemy that isn’t expecting your attack is Unresisted.</t>
  </si>
  <si>
    <t>Dragon Greatsword</t>
  </si>
  <si>
    <t>Blade, Two-Handed, Dragon</t>
  </si>
  <si>
    <t xml:space="preserve">An exceptionally large two-handed sword that grants the wielder +10 Resistance. Attacks with this are Impaired 1 (for a net of +1) and have +2 Damage Base.
</t>
  </si>
  <si>
    <t>Dragonslayer Greatbow</t>
  </si>
  <si>
    <t>This bow is so large it needs to be deployed before you can shoot with it. Deploying it requires your action and requires setting it onto a firm ground or floor. Once it’s deployed, attacks with it are made with a total of +12 dice and increase your Damage Base by 8. Any target you hit with an attack with this is Slowed on their next turn. [+50% damage to dragons]</t>
  </si>
  <si>
    <t>Dragonslayer Swordspear</t>
  </si>
  <si>
    <t>Spear, Blade, Needle</t>
  </si>
  <si>
    <t>Either a spear with a sword-like tip, or a sword with an extremely long hilt, depending on how you look at it. Deals an extra 1d6 Fatigue on a hit. You can use your action to charge the swordspear with power before thrusting it into the air, calling down a blast of lightning on a single enemy. That enemy can try to dodge, rolling against your Throw. They are Hindered on that roll. If you hit, they take 5d6 Injuries and 3d6 Fatigue, which cannot be increased through stunts. [+50% damage to dragons]</t>
  </si>
  <si>
    <t>Blade of the Ruined King</t>
  </si>
  <si>
    <t>A very large green-tinted crystalline sword. On a hit, it deals bonus Injuries equal to one-quarter the target’s remaining Injury pool (i.e. their Might minus their current number of Injuries). This weapon grants a total of 10 bonus dice on Brawl rolls.</t>
  </si>
  <si>
    <t>Petal</t>
  </si>
  <si>
    <t>Blade, Needle</t>
  </si>
  <si>
    <t>Sasha</t>
  </si>
  <si>
    <t>A strange weapon, Petal is a bracelet of stylized sakura leaves that enhances and focuses shinsu to be used as a brilliant pink sword. It lets anybody use the Quick Weapon ability as if they spent 10 beads total, or counts as 10 free invested beads for anyone who already possesses the ability. Further, Petal deals additional Unresisted Injuries equal to its wielders Heart Edge. Petal cannot be used to produce or enhance a non-melee weapon.</t>
  </si>
  <si>
    <t>Third Dragon Ring</t>
  </si>
  <si>
    <t>A ring with a small crest showing a dragon attacking a small humanoid figure. While wearing this, increase all your attributes by 20.</t>
  </si>
  <si>
    <t>Sunsword</t>
  </si>
  <si>
    <t>A longsword with a solid red crossguard. While wielding this, you can use the Blood Cyclone ability. Blood Cyclone: You can draw your own blood with this, accepting any number of Injuries, and kick up a tornado of bloody ashes. At the end of each of your turns, enemies within Short range take Injuries. The number starts equal to the number you accepted originally, and decreases by 1 every round afterwards. When the number reaches 0, the tornado stops. While the cyclone is active, you can twist the hilt to ignite this weapon, increasing the rank to A and giving 5 additional dice on attacks. While ignited, the cyclone deals an additional 10% Unresisted Injuries; it also deals this damage to you.</t>
  </si>
  <si>
    <t>Dragon Bone Fist</t>
  </si>
  <si>
    <t>Unarmed, Dragon</t>
  </si>
  <si>
    <t>Shyv</t>
  </si>
  <si>
    <t>A heavy gauntlet infused with the power of an ancient golem. While you wear this, increase your Resistance by 5. Brawl attacks made with this get a total of 5 bonus dice.</t>
  </si>
  <si>
    <t>Spitfire Spear</t>
  </si>
  <si>
    <t>Sona</t>
  </si>
  <si>
    <t>A melee-type spear with a bulge near the point. Rolls with this are Impaired 2 (for a net of +0), but increase the Damage Base by 2. You can use your action to thrust the spear forward, causing it to project a ball of flame. The ball moves in a straight line until it hits something, dealing 5d6 Injuries.</t>
  </si>
  <si>
    <t>Eyes of God</t>
  </si>
  <si>
    <t>Taitle Trumbald</t>
  </si>
  <si>
    <t>Allows the Light Bearer to watch everything, or almost everything.
Range: Yes
Structure 100, Toughness 100
Bonus: +50
Abilities:
-All abilities of a Rank B Lighthouse.
-The Lighthouse can split off a number of smaller units equal to twice your Wits. These units regenerate over time; units equal to your Wits Edge regenerate daily.
-The sub-units can have their sizes changed to be anywhere between ten thou (.01 inches) and ten feet across.
-The sub-units can be placed on something else (automatically and semi-permanently adhering) and put into a sort of tracking mode- while in this mode, you can find them and their location at any distance. You can still use their sensory equipment in this mode.</t>
  </si>
  <si>
    <t>Opera</t>
  </si>
  <si>
    <t>Non-Unique (3)</t>
  </si>
  <si>
    <t>Taitle Trumbald 1/3</t>
  </si>
  <si>
    <t xml:space="preserve">Allows the Light Bearer to conduct the battlefield to their will.
Range: 1,000 miles
Structure 1000, Toughness 1000
Bonus: +200
Abilities:
-All abilities of a Rank B Lighthouse.
-The Lighthouse can split off fifty smaller units. These units regenerate over time, at a rate of two units per day
-The sub-units can have their sizes changed to be an inch or up to ten feet across.
-The sub-units can be placed on something else (automatically and semi-permanently adhering) and put into a sort of tracking mode- while in this mode, you can find them and their location at any distance.
-While using Light Bearer abilities, treat your Wits as though it was doubled.
-Light Bearer abilities don’t cause you to accept Confusion.
-[Abilities used with this can affect deities]
</t>
  </si>
  <si>
    <t>Dragonrider Bow</t>
  </si>
  <si>
    <t>Bow, Dragon</t>
  </si>
  <si>
    <t>Taniel</t>
  </si>
  <si>
    <t>Attacks with this deal an additional 2d6 Stress and have +2 Damage Base. [25% less damage to dragons]</t>
  </si>
  <si>
    <t>Obsidian Greatsword</t>
  </si>
  <si>
    <t>Thirel</t>
  </si>
  <si>
    <t>A jagged, black two-handed sword. Attacks with this have +2 Damage Base. You can use your action to slam the sword into the ground, emitting a blast of black and gold fire. All creatures within Close range (except you) take 5d6 Injuries.</t>
  </si>
  <si>
    <t>Mehrune's Razor</t>
  </si>
  <si>
    <t>Unknown</t>
  </si>
  <si>
    <t>This does not grant any bonus dice. If you hit an enemy, and at least half of the dice you rolled were successes, the enemy dies.</t>
  </si>
  <si>
    <t>Regimental Standard</t>
  </si>
  <si>
    <t>White</t>
  </si>
  <si>
    <t>A tattered red battle standard is furled around this beaten, aging halberd. Grants +10 dice on attacks. While wielding this, you can choose to activate its effect, causing a small wind to stir the standard briefly. The effect remains active until you decide to deactivate it, which you can only do on your turn. While the effect is active:
Everyone within Medium range in combat who is not attacking you in any way increases all of their attributes by an amount equal to half your Heart (this functions similarly to, and stacks with, Shinsu Reinforcement). To retain this benefit, all of the targets must use their turn to in some way attempt to damage another creature.
Everyone within Medium range who is not in combat (in this case, “in combat” is defined as “attempting to damage another creature”) must, at the beginning of their turn, roll Resistance (minimum 15 successes) or be overcome with rage and compelled to attack the nearest creature to them who is not the wielder. They can attempt to remake the initial roll at the beginning of each of their turns to be freed from the effect.
The wielder accepts five Injuries on each of their turns as the halberd drains their blood.
The wielder heals one Injury on each of their turns for each creature (not including them) affected by this (this applies even if they successfully make the Resistance roll).</t>
  </si>
  <si>
    <t>Terminus</t>
  </si>
  <si>
    <t>A plain, unadorned scythe, meant to be wielded with two hands. Grants +10 dice on attacks. The wielder knows how many Injuries each creature within Short range has. When the wielder strikes an enemy with an attack from this, that enemy reduces their lowest attribute by twice that attribute's current Edge.</t>
  </si>
  <si>
    <t>Alabaster Lord's Sword</t>
  </si>
  <si>
    <t>Z</t>
  </si>
  <si>
    <t>This slender, blue-tinged greatsword contains gravity-manipulating shinsu. Attacks with this are Impaired 1 (net +1) and deal 2d6 Confusion on a hit. You can use your action to thrust the sword into the ground, pulling nearby enemies towards you. Enemies within Short range are pulled into Close range, and enemies within Close range are pulled into your melee reach.</t>
  </si>
  <si>
    <t>Coded Sword</t>
  </si>
  <si>
    <t>This sword’s blade is a string of characters in some long-forgotten language. A code, perhaps. All post-mitigation Injuries this sword would deal is converted into half as much Stress. If an enemy successfully blocks an attack with this, the attack counts as a hit for the purposes of abilities like Flurry. This does not allow you to deal damage.</t>
  </si>
  <si>
    <t>Spiderbite</t>
  </si>
  <si>
    <t>A small, dark crossbow that generates its own bolts. Wielded with one hand. Attacks with this are made with the Throw skill, gain +10 dice, and deal damage according to the wielder’s Wits or Heart (whichever is higher) instead of their Might. When the wielder strikes an enemy with an attack from this (including if they block it barehanded, and regardless of whether or not it deals damage after mitigation), the wielder gains temporary access to their mind. For the next minute, whenever the wielder would make a roll against the target’s Resistance, they treat the target’s Resistance as halved. This stacks with all other Resistance-reducing effects. The duration refreshes if the target is hit by another attack from this, but the effect doesn’t stack. This weapon has a range of Short.</t>
  </si>
  <si>
    <t>Archdrake Armor</t>
  </si>
  <si>
    <t>A set of remarkably durable robes. Whenever an attack would make you take any amount of Injuries, you take only three-quarters as many (rounded down). Apply this effect before Resistance. The rest are dealt to the armor, which has 100 Structure, 50 Toughness, and repairs itself each day. While wearing these, increase your Wits by 5.</t>
  </si>
  <si>
    <t>Lancer's Armor</t>
  </si>
  <si>
    <t>Summons mount (M 82 A 100 W 30 H 30 R 82. Flight (free)). Mount has own action, rider and mount share movement. Armor has Structure 1000 Toughness 1000, blocks 75% of incoming Injuries/Fatigue, Hinders wearer on all Agility rolls.</t>
  </si>
  <si>
    <t>Lux Elegans</t>
  </si>
  <si>
    <t>Functions as a B-rank Lighthouse, with a range of Medium. Any shinsu ability used with this Lighthouse are more stable; attempts to Dispel them are Hindered.</t>
  </si>
  <si>
    <t>Divine Wing</t>
  </si>
  <si>
    <t>Grants +2 dice on all rolls made with it. As an action, you can loop it around an ally within Medium range and pull them to a spot within your reach.</t>
  </si>
  <si>
    <t>Life Ring</t>
  </si>
  <si>
    <t>A ring with a gem of red shinsu. Gives +10 Resistance and +5 Might.</t>
  </si>
  <si>
    <t>Second Dragon Ring</t>
  </si>
  <si>
    <t>A ring with a small crest showing a dragon hiding behind a shield. While wearing this, increase all your attributes by 10.</t>
  </si>
  <si>
    <t>Ancient Dragon Greatshield</t>
  </si>
  <si>
    <t>This grants +5 dice to Brawl rolls made to block an attack. It has 500 Structure, 500 Toughness, and repairs itself each day. While wielding this, you heal one Injury per round (six Injuries per minute).</t>
  </si>
  <si>
    <t>Black Dragon Shield</t>
  </si>
  <si>
    <t>This grants +6 dice to Brawl rolls made to block an attack. It has 100 Structure, 100 Toughness, and repairs itself each day.</t>
  </si>
  <si>
    <t>Dragon Crest Shield</t>
  </si>
  <si>
    <t xml:space="preserve">This grants +7 dice to Brawl rolls made to block an attack. It has 100 Structure, 100 Toughness, and repairs itself each day.
</t>
  </si>
  <si>
    <t>Dragonhead Greatshield</t>
  </si>
  <si>
    <t>This grants +2 dice to Brawl rolls made to block an attack. It has 250 Structure, 250 Toughness, and repairs itself each day. You can use your action to raise the shield and project an image of a roaring dragon from the front. The roar pushes anyone in a ten-foot cone in front of you back ten feet. Additionally, until the end of your next turn, you take 25% fewer Injuries than you would normally (to a total of 75%, rounded up. Apply after Resistance and any other defensive or Injury-reducing effects).</t>
  </si>
  <si>
    <t>Dragonhead Shield</t>
  </si>
  <si>
    <t>This grants +8 dice to Brawl rolls made to block an attack. It has 100 Structure, 150 Toughness, and repairs itself each day. You can use your action to sweep the shield in an arc in front of you, spraying fire across anyone unlucky enough to be there. Anyone in a 180-degree arc within Close range takes 3d6 Injuries. They can attempt to dodge or block this, with a roll against your Brawl.</t>
  </si>
  <si>
    <t>Slumbering Dragon Shield</t>
  </si>
  <si>
    <t>This grants +6 dice to Brawl rolls made to block an attack. It has 250 Structure, 200 Toughness, and repairs itself completely each day. If you would take any amount of Fatigue while wielding this, you take 1 less Fatigue (to a minimum of 1).</t>
  </si>
  <si>
    <t>Twin Dragon Greatshield</t>
  </si>
  <si>
    <t>This grants +5 dice to Brawl rolls made to block an attack. It has 500 Structure, 500 Toughness, and repairs itself each day.</t>
  </si>
  <si>
    <t>Black Dragon Greataxe</t>
  </si>
  <si>
    <t>A large, jagged, two-handed axe. If your Damage Base with this weapon would be less than 10, it is instead 10.</t>
  </si>
  <si>
    <t>Black Dragon Greatsword</t>
  </si>
  <si>
    <t>A long, thin, two-handed sword. If your Damage Base with this weapon would be less than 9, it is instead 9.</t>
  </si>
  <si>
    <t>Black Talon</t>
  </si>
  <si>
    <t>A one-handed sword with a curved blade that has intricate carvings. Attacks are made with a total of 5 bonus dice and increase your Damage Base by 2. As an attack (which can take the place of any Brawl attack), you can swing the sword and cause it to shoot a projectile that damages an enemy. Make this attack with a number of dice equal to half your Throw rolls and half your Brawl rolls (rounding up both times), added together. For the purposes of calculating damage, stunts, and most other effects, treat this as a normal Brawl roll.</t>
  </si>
  <si>
    <t>Blasphemous Blade</t>
  </si>
  <si>
    <t>Bits and pieces of entrails still writhe gently on the surface of this greatsword. Attacks with this are made with a total of 3 bonus dice and deal 1d6 Stress on a hit. While wielding this, any time you would leave an enemy Fragile (or dead) you heal a number of Injuries equal to your Might Edge plus 2.</t>
  </si>
  <si>
    <t>Chillrend</t>
  </si>
  <si>
    <t>Needle, Blade</t>
  </si>
  <si>
    <t>This icy blue bladed sword is cold to the touch and a white snowy mist comes off the blade. Deals 2d6 Fatigue (minus the target's Resistance Edge, minimum 1) on a hit.</t>
  </si>
  <si>
    <t>Church Blade</t>
  </si>
  <si>
    <t>A gnarled, thorny large sword of black quartz. Your attacks with this are Impaired 5 (for a net of -3 dice) and increase your Damage Base by 2. If you are Fragile, Weakened, Anxious, or Volatile, your attacks with this gain +8 dice (net +5) and increase your Damage Base by 5 (which stacks with the base increase for +7).</t>
  </si>
  <si>
    <t>Cleanrot Spear</t>
  </si>
  <si>
    <t>A long melee spear with a winged golden blade. The wielder is immune to all poisons, diseases, and other bodily impurities or corruptions. In total, this grants 6 bonus dice and deals 2d6 Stress and Confusion on a melee hit.</t>
  </si>
  <si>
    <t>Clear</t>
  </si>
  <si>
    <t>A curved one-handed sword with a perfectly transparent blade. While wielding this, reduce your Damage Base by 2. Attacks with this ignore attempts to block.</t>
  </si>
  <si>
    <t>Clinging Bone</t>
  </si>
  <si>
    <t xml:space="preserve">The forearms of a humanoid skeleton that attaches itself to the wielder’s forearms. Once attached, spikes of bone extend forward from the knuckles. While wielding these, you count as unarmed. Your attacks with these ignore an amount of the target’s Resistance equal to twice your Heart Edge.
</t>
  </si>
  <si>
    <t>Demon's Maw</t>
  </si>
  <si>
    <t>Spear, Non-Unique (6)</t>
  </si>
  <si>
    <t>One of six javelins made from the many mouths of a fear drake. When it hits an enemy, and that enemy is Dying or has three Exhaustion, the fangs open up and swallow that enemy whole. Only one enemy can be swallowed at a time. Anyone inside is held in stasis until they’re released by the destruction of the Demon’s Maw or by using it to swallow another enemy.</t>
  </si>
  <si>
    <t>Dragon King Greataxe</t>
  </si>
  <si>
    <t xml:space="preserve">An extraordinarily large two-handed axe that can be slammed into the ground to make nearby enemies stumble. Any enemy within ten feet makes a Move check (against your Brawl made with five extra dice) or be slowed for the next round. Doing this takes your action. When used normally, this increases your Damage Base by 5, but you make the roll with two fewer dice than normal (for a net of +3). [+25% damage against anyone you know to have killed a dragon]
</t>
  </si>
  <si>
    <t>Dragon Tooth</t>
  </si>
  <si>
    <t>Bludgeon, Two-Handed, Dragon</t>
  </si>
  <si>
    <t xml:space="preserve">An exceptionally large, slightly curved two-handed club. Brawl rolls made with this are Impaired 3 (for a net of -1), but increase your Damage Base by 5. Additionally, it increases the wielder’s Resistance by 10.
</t>
  </si>
  <si>
    <t>Dragonscale Blade</t>
  </si>
  <si>
    <t>A saber/sabre made by whittling and sharpening a dragon’s scale until it formed a blade. Attacks with this are made with a total of 1 bonus die and deal 2d6 Confusion and 2d6 Fatigue on a hit.</t>
  </si>
  <si>
    <t>Dragonsword of Lainlyn</t>
  </si>
  <si>
    <t>A one-handed pointed sword. The hilt is curved to look like two reptilian necks twined together, with the heads jutting out to form the crossguard. On a successful hit, deals 1d6 Unresisted Injuries and 1d6 Unresisted Fatigue, healing you for the same amount of Fatigue (calculated pre-mitigation).</t>
  </si>
  <si>
    <t>Drakeblood Greatsword</t>
  </si>
  <si>
    <t>In addition to any other harm you deal, this two-handed sword additionally causes the target to take 2d6 Fatigue and 1d6 Stress. As normal, you have to hit for this to take effect.</t>
  </si>
  <si>
    <t>Gold Tracer</t>
  </si>
  <si>
    <t>A brightly-colored curved sword that leaves faint orange-gold streaks in the ear when swung. If you deal (post-mitigation) Injuries to an enemy equal to their Might Edge with this dagger, they immediately take additional Unresisted Injuries equal to their Might Edge. This can only apply once per round per enemy. Attacks with this gain an additional +5 dice (total 7) if used at the same time as Silver Tracer, with Dual Wielding.</t>
  </si>
  <si>
    <t>Golden Epitaph</t>
  </si>
  <si>
    <t>A gold-colored sword with a very complex crossguard involving many small spines. Brawl attacks with this are made with a total of 3 bonus dice and increase their Damage Base by 2. As an action, you can lift the sword into the air and inspire your allies, causing them to increase their Damage Base on all weapon attacks by 1 for the next 3 rounds.</t>
  </si>
  <si>
    <t>Hoarfrost Pike</t>
  </si>
  <si>
    <t>Spear, Non-Unique</t>
  </si>
  <si>
    <t>A halberd that always has a light coating of frost. On hit deals 1d6 Fatigue and Injuries.</t>
  </si>
  <si>
    <t>Icerind Hatchet</t>
  </si>
  <si>
    <t xml:space="preserve">A hatchet with a frost-coated blade, thought to be a scale from a snow drake. Attacks with this have a total of 4 bonus dice. Use an action to stomp your foot down, creating a burst of ice on the ground in front of you in Close range. Enemies in that space take 3d6 Injuries and Fatigue, and are Slowed for one round.
</t>
  </si>
  <si>
    <t>Lament</t>
  </si>
  <si>
    <t>Blade, Hook</t>
  </si>
  <si>
    <t>A complex sword with a hooked tip and a serrated edge. If an attack with this deals enough damage to pierce any mitigation the target has (i.e. the target actually takes damage), the wielder heals for 1d6 Injuries. Attacks with this have a total of 1 bonus die and increase their Damage Base by 5.</t>
  </si>
  <si>
    <t>Lance</t>
  </si>
  <si>
    <t>Needle, Non-Unique</t>
  </si>
  <si>
    <t>After using action to move, can make a free attack that deals double damage. Target is Hindered on blocking.</t>
  </si>
  <si>
    <t>Reduvia</t>
  </si>
  <si>
    <t>A curved, jagged dagger that is perpetually coated in blood. Attacks with this are made with a total of 5 bonus dice. Attacks with this deal Unresisted Injuries equal to half the victim’s Might Edge (rounded down) at the beginning of each of their turns. This stops as soon as they receive any source of healing or take an action to bind the wound. The damage does not stack. You can accept three Fatigue when making a melee attack with this to make that attack against any target within Close range.</t>
  </si>
  <si>
    <t>Serpent's Curved Sword</t>
  </si>
  <si>
    <t>Curved sword fashioned in the image of an ancient serpent deity and tool of a forgotten religion. If you bring an enemy to Dying or dead while wielding this, you heal Injuries equal to your Might Edge plus two. Grants +3 dice total on attacks and increases your Damage Base by 2.</t>
  </si>
  <si>
    <t>Serpentbone Blade</t>
  </si>
  <si>
    <t xml:space="preserve">Sinister katana modeled after a snake’s skeleton. When you hit with an attack using this, increase your Damage Base by 1. This does not apply to the triggering attack. This effect stacks and lasts until the end of combat.
</t>
  </si>
  <si>
    <t>Silver Tracer</t>
  </si>
  <si>
    <t>A dark silver dagger. If you use this at the same time as Gold Tracer, with Dual Wielding, Gold Tracer’s effect deals double damage.</t>
  </si>
  <si>
    <t>Tailbone Spear</t>
  </si>
  <si>
    <t xml:space="preserve">A melee-use spear. While wielding this, you can take a Fatigue to release a blast, throwing back a single enemy. The enemy must be next to you, and it throws them ten feet away.
</t>
  </si>
  <si>
    <t>Unending Dancing Blades</t>
  </si>
  <si>
    <t>Decorative swords ablaze with impassioned red. A pair of weapons made to be wielded in both hands. Grant +10 dice on attacks. You can choose to start a dancing attack; while doing so, you make attacks against your target, which give you 2 Fatigue each, but with no other consequences or cost. You make these attacks until you become Weakened.</t>
  </si>
  <si>
    <t>Winged Greathorn</t>
  </si>
  <si>
    <t>A wing-shaped greataxe infused with the power of ancestral spirits. Attacks with this are Impaired 2 (net +0) and has +2 Damage Base. You can use an action to raise the axe and summon a soul-sapping miasma in Close range around you. The miasma remains for the next two rounds. All enemies within it have their Resistance reduced by 20 (to a minimum of 0).</t>
  </si>
  <si>
    <t>Wrathful Axe</t>
  </si>
  <si>
    <t>Rolls with this two-handed axe are Impaired 1 (net +1) and get +3 DB. You can use your action to create a burst of darkness around you, causing heavy damage. Creatures within your reach take 10d6 Injuries and Stress, and creatures in Close range take 5d6 Injuries and Stress.</t>
  </si>
  <si>
    <t>Horn Bow</t>
  </si>
  <si>
    <t>Guy</t>
  </si>
  <si>
    <t>A longbow made of animal horn. This grants a total of 4 bonus dice and deals 2d6 Confusion on a hit. If you would deal Confusion to one or more enemies, you deal 1d6 additional Confusion.</t>
  </si>
  <si>
    <t>Red Storm's Tear Ring</t>
  </si>
  <si>
    <t>Tandris</t>
  </si>
  <si>
    <t>A ring set with a large tearstone jewel. While you have at least half of your maximum Injuries (i.e. Might/2 is less than Injuries), increase the initial Damage Base of any attack you make by half.</t>
  </si>
  <si>
    <t>E</t>
  </si>
  <si>
    <t>Allows the Light Bearer to conduct the battlefield to their will.
Range: 1,000 miles
Structure 1000, Toughness 1000
Bonus: +200
Abilities:
-All abilities of a Rank B Lighthouse.
-The Lighthouse can split off fifty smaller units. These units regenerate over time, at a rate of two units per day
-The sub-units can have their sizes changed to be an inch or up to ten feet across.
-The sub-units can be placed on something else (automatically and semi-permanently adhering) and put into a sort of tracking mode- while in this mode, you can find them and their location at any distance.
-While using Light Bearer abilities, treat your Wits as though it was doubled.
-Light Bearer abilities don’t cause you to accept Confusion.
-[Abilities used with this can affect deities]</t>
  </si>
  <si>
    <t>While wielding this one-handed axe, your Brawl rolls are Impaired 1 (for a net of +1 dice), but deal 1d6 Fatigue on a hit and increase your Damage Base by 1. [+50% damage to dragons]</t>
  </si>
  <si>
    <t>Armor Inventory</t>
  </si>
  <si>
    <t>inventory</t>
  </si>
  <si>
    <t>special</t>
  </si>
  <si>
    <t>Blade, special</t>
  </si>
  <si>
    <t>Spear, special</t>
  </si>
  <si>
    <t>Needle, special</t>
  </si>
  <si>
    <t>Structure 30, Toughness 50, +0 dice.</t>
  </si>
  <si>
    <t>Structure &gt;120, Toughness &gt;150, +? Dice.</t>
  </si>
  <si>
    <t>Structure unknown, Toughness unknown, bonus dice unknown.</t>
  </si>
  <si>
    <t>Structure 60, Toughness 100, +5 dice.</t>
  </si>
  <si>
    <t>Structure 120, Toughness 150, +8 dice.</t>
  </si>
  <si>
    <t>Range: Long
Structure 150+
Toughness 75+
Bonus: +10
Abilities:
All abilities of a Rank B Lighthouse.
The Lighthouse can split off at least fifty smaller units. The actual maximum is unknown.
The other abilities are currently unknown</t>
  </si>
  <si>
    <t>Range: Long
Structure 75
Toughness 40
Bonus: +5
Abilities:
All abilities of a Rank C Lighthouse.
The storage space is the size of a bedroom, and can provide breathable air and otherwise livable conditions for up to one week. It does not provide food, water, or any other sustenance—it just maintains the internal environment and provides oxygen.
The Lighthouse can support roughly two tons of weight, including any objects and people inside the storage space.
The Lighthouse can split off up to ten smaller units. This otherwise acts like the ability of Rank C Lighthouses.
The scan range increases to Long.
The Lighthouse can turn itself invisible and still be active, using abilities that don’t give off light and having the inside storage space be available for use.</t>
  </si>
  <si>
    <t>Range: Medium
Structure 40
Toughness 20
Bonus: +2
Abilities:
All abilities of a Rank D Lighthouse.
The storage space is about the size of a walk-in closet. Additionally, the Light Bearer can be inside the space while controlling the Lighthouse and access all its functions. The interior is fully customizable, including creating furniture.
The Lighthouse can support weight up to two large people, including any objects and people inside the storage space.
The scan range increases to Medium.
The Lighthouse can split off up to three smaller units, in addition to the main Lighthouse. These units do not have a storage space and can only be controlled by the Light Bearer. They do not count against the Light Bearer’s total number of Lighthouses controlled. They also do not grant additional die bonuses. Each Light Bearer can only have one of their controlled Lighthouses do this at a time.</t>
  </si>
  <si>
    <t>Range: Short
Structure 20
Toughness 10
Bonus: +1
Abilities:
All abilities of a Rank E Lighthouse.
Access to BOX, an information-sharing network of Light Bearers. Using BOX, you can find any information that isn’t being deliberately kept secret. Finding information that isn’t readily available requires a Think roll.
Access to a small storage space inside the Lighthouse. This space can hold any one object smaller than a person.
The Lighthouse can support weight up to a small child. This limit applies to any objects in the inside storage space.
Any side of the Lighthouse can function as a display screen, showing any of the recorded images or video, as well as any images or video available over BOX.
The scan range increases to Short.
The Lighthouse can turn itself invisible while inactive. While inactive, it cannot be used as a storage space, nor can any of its abilities be used.</t>
  </si>
  <si>
    <t>Range: Close
Structure 10
Toughness 5
Bonus: +0
Abilities:
Spreading light in a large area, enough to illuminate a large room
Voice calls between two or more Lighthouses, or between a Pocket and any number of Lighthouses.
Text communication between two or more Lighthouses.
Translating any known language.
Information gathering and relaying. The Lighthouse can record audio and video and transmit that data to any receiving Lighthouse. It can also play recorded audio.
Scan an area, person, or object within Close range.
Various minor utility functions, like a timer and alarm clock.</t>
  </si>
  <si>
    <t>Wand</t>
  </si>
  <si>
    <t>Abilities: Shot, Heal
Heart: 10</t>
  </si>
  <si>
    <t>Abilities: Shot, Heal, Flight
Heart: 20</t>
  </si>
  <si>
    <t>Abilities: Shot, Heal, Flight, Dispel
Heart: 40</t>
  </si>
  <si>
    <t>Abilities: Shot, Heal, Flight, Dispel, Shinsu Wall
Heart: 80</t>
  </si>
  <si>
    <t>{Name: "Dragonslayer Amulet",
    Type: "Misc",
    Tags: "special",
    Rank: "",
    Description: "A cracked dragon scale set in a golden disc. Attacks you make ignore the Resistance of any dragons or dragonkind.",
   }</t>
  </si>
  <si>
    <t>{Name: "Dragonslayer Greatshield",
    Type: "Shield",
    Tags: "special",
    Rank: "B",
    Description: "This grants no dice to Brawl rolls made to block an attack. It has 500 Structure and 200 Toughness. If it becomes broken, it is fully repaired by the next day. [-25% damage from dragons]",
   }</t>
  </si>
  <si>
    <t>{Name: "Dragonslayer Greataxe",
    Type: "Weapon",
    Tags: "Blade, special",
    Rank: "C",
    Description: "While wielding this two-handed axe, your Brawl rolls are Impaired 2 (for a net of +0 dice), but increase your Damage Base by 2 and deal 2d6 Fatigue on a hit. You can hold the axe over your head, charge it with power, and then swing with enough force to devastate anything you hit. This requires an action and causes you to take Injuries and Fatigue equal to half your Might Edge (rounded down). You make a Brawl roll—as normal, your target can attempt to dodge, and they make that roll with 2 more dice. If you hit, you deal triple damage. This includes the base damage, all damage from other sources, and the passive additional damage the axe normally deals (increasing it to 6d6 Fatigue). Whether you hit or not, all creatures adjacent to your target (except you) take 2d6 Injuries (reduced by their Resistance Edge, minimum 1) and 1d6 Fatigue. If, instead, you take an action to charge the axe, then on a hit you deal quintuple damage (increasing the passive damage to 10d6 Fatigue), and all adjacent creatures take 4d6 Injuries (reduced by their Resistance Edge, minimum 1) and 2d6 Fatigue. [+50% damage to dragons]",
   }</t>
  </si>
  <si>
    <t>{Name: "Dragonslayer's Crescent Axe",
    Type: "Weapon",
    Tags: "Blade, special",
    Rank: "C",
    Description: "While wielding this one-handed axe, your Brawl rolls are Impaired 1 (for a net of +1 dice), but deal 1d6 Fatigue on a hit and increase your Damage Base by 1. [+50% damage to dragons]",
   }</t>
  </si>
  <si>
    <t>{Name: "Opera",
    Type: "Lighthouse",
    Tags: "special",
    Rank: "S",
    Description: "Allows the Light Bearer to conduct the battlefield to their will.
Range: 1,000 miles
Structure 1000, Toughness 1000
Bonus: +200
Abilities:
-All abilities of a Rank B Lighthouse.
-The Lighthouse can split off fifty smaller units. These units regenerate over time, at a rate of two units per day
-The sub-units can have their sizes changed to be an inch or up to ten feet across.
-The sub-units can be placed on something else (automatically and semi-permanently adhering) and put into a sort of tracking mode- while in this mode, you can find them and their location at any distance.
-While using Light Bearer abilities, treat your Wits as though it was doubled.
-Light Bearer abilities don’t cause you to accept Confusion.
-[Abilities used with this can affect deities]",
   }</t>
  </si>
  <si>
    <t>{Name: "Lancer's Armor",
    Type: "Armor",
    Tags: "special",
    Rank: "",
    Description: "Summons mount (M 82 A 100 W 30 H 30 R 82. Flight (free)). Mount has own action, rider and mount share movement. Armor has Structure 1000 Toughness 1000, blocks 75% of incoming Injuries/Fatigue, Hinders wearer on all Agility rolls.",
   }</t>
  </si>
  <si>
    <t>{Name: "Life Ring",
    Type: "Misc",
    Tags: "special",
    Rank: "D",
    Description: "A ring with a gem of red shinsu. Gives +10 Resistance and +5 Might.",
   }</t>
  </si>
  <si>
    <t>{Name: "Demon's Maw",
    Type: "Weapon",
    Tags: "Spear, special",
    Rank: "A",
    Description: "One of six javelins made from the many mouths of a fear drake. When it hits an enemy, and that enemy is Dying or has three Exhaustion, the fangs open up and swallow that enemy whole. Only one enemy can be swallowed at a time. Anyone inside is held in stasis until they’re released by the destruction of the Demon’s Maw or by using it to swallow another enemy.",
   }</t>
  </si>
  <si>
    <t>{Name: "Hoarfrost Pike",
    Type: "Weapon",
    Tags: "Spear, special",
    Rank: "C",
    Description: "A halberd that always has a light coating of frost. On hit deals 1d6 Fatigue and Injuries.",
   }</t>
  </si>
  <si>
    <t>{Name: "Lance",
    Type: "Weapon",
    Tags: "Needle, special",
    Rank: "C",
    Description: "After using action to move, can make a free attack that deals double damage. Target is Hindered on blocking.",
   }</t>
  </si>
  <si>
    <t>{Name: "Armor Inventory",
    Type: "inventory",
    Tags: "",
    Rank: "D",
    Description: "Structure 30, Toughness 50, +0 dice.",
   }</t>
  </si>
  <si>
    <t>{Name: "Armor Inventory",
    Type: "inventory",
    Tags: "",
    Rank: "C",
    Description: "Structure 60, Toughness 100, +5 dice.",
   }</t>
  </si>
  <si>
    <t>{Name: "Armor Inventory",
    Type: "inventory",
    Tags: "",
    Rank: "B",
    Description: "Structure 120, Toughness 150, +8 dice.",
   }</t>
  </si>
  <si>
    <t>{Name: "Armor Inventory",
    Type: "inventory",
    Tags: "",
    Rank: "A",
    Description: "Structure &gt;120, Toughness &gt;150, +? Dice.",
   }</t>
  </si>
  <si>
    <t>{Name: "Armor Inventory",
    Type: "inventory",
    Tags: "",
    Rank: "S",
    Description: "Structure unknown, Toughness unknown, bonus dice unknown.",
   }</t>
  </si>
  <si>
    <t>{Name: "Lighthouse",
    Type: "Lighthouse",
    Tags: "",
    Rank: "E",
    Description: "Range: Close
Structure 10
Toughness 5
Bonus: +0
Abilities:
Spreading light in a large area, enough to illuminate a large room
Voice calls between two or more Lighthouses, or between a Pocket and any number of Lighthouses.
Text communication between two or more Lighthouses.
Translating any known language.
Information gathering and relaying. The Lighthouse can record audio and video and transmit that data to any receiving Lighthouse. It can also play recorded audio.
Scan an area, person, or object within Close range.
Various minor utility functions, like a timer and alarm clock.",
   }</t>
  </si>
  <si>
    <t>{Name: "Lighthouse",
    Type: "Lighthouse",
    Tags: "",
    Rank: "D",
    Description: "Range: Short
Structure 20
Toughness 10
Bonus: +1
Abilities:
All abilities of a Rank E Lighthouse.
Access to BOX, an information-sharing network of Light Bearers. Using BOX, you can find any information that isn’t being deliberately kept secret. Finding information that isn’t readily available requires a Think roll.
Access to a small storage space inside the Lighthouse. This space can hold any one object smaller than a person.
The Lighthouse can support weight up to a small child. This limit applies to any objects in the inside storage space.
Any side of the Lighthouse can function as a display screen, showing any of the recorded images or video, as well as any images or video available over BOX.
The scan range increases to Short.
The Lighthouse can turn itself invisible while inactive. While inactive, it cannot be used as a storage space, nor can any of its abilities be used.",
   }</t>
  </si>
  <si>
    <t>{Name: "Lighthouse",
    Type: "Lighthouse",
    Tags: "",
    Rank: "C",
    Description: "Range: Medium
Structure 40
Toughness 20
Bonus: +2
Abilities:
All abilities of a Rank D Lighthouse.
The storage space is about the size of a walk-in closet. Additionally, the Light Bearer can be inside the space while controlling the Lighthouse and access all its functions. The interior is fully customizable, including creating furniture.
The Lighthouse can support weight up to two large people, including any objects and people inside the storage space.
The scan range increases to Medium.
The Lighthouse can split off up to three smaller units, in addition to the main Lighthouse. These units do not have a storage space and can only be controlled by the Light Bearer. They do not count against the Light Bearer’s total number of Lighthouses controlled. They also do not grant additional die bonuses. Each Light Bearer can only have one of their controlled Lighthouses do this at a time.",
   }</t>
  </si>
  <si>
    <t>{Name: "Lighthouse",
    Type: "Lighthouse",
    Tags: "",
    Rank: "B",
    Description: "Range: Long
Structure 75
Toughness 40
Bonus: +5
Abilities:
All abilities of a Rank C Lighthouse.
The storage space is the size of a bedroom, and can provide breathable air and otherwise livable conditions for up to one week. It does not provide food, water, or any other sustenance—it just maintains the internal environment and provides oxygen.
The Lighthouse can support roughly two tons of weight, including any objects and people inside the storage space.
The Lighthouse can split off up to ten smaller units. This otherwise acts like the ability of Rank C Lighthouses.
The scan range increases to Long.
The Lighthouse can turn itself invisible and still be active, using abilities that don’t give off light and having the inside storage space be available for use.",
   }</t>
  </si>
  <si>
    <t>{Name: "Lighthouse",
    Type: "Lighthouse",
    Tags: "",
    Rank: "A",
    Description: "Range: Long
Structure 150+
Toughness 75+
Bonus: +10
Abilities:
All abilities of a Rank B Lighthouse.
The Lighthouse can split off at least fifty smaller units. The actual maximum is unknown.
The other abilities are currently unknown",
   }</t>
  </si>
  <si>
    <t>{Name: "Lighthouse",
    Type: "Lighthouse",
    Tags: "",
    Rank: "S",
    Description: "Unknown",
   }</t>
  </si>
  <si>
    <t>{Name: "Wand",
    Type: "",
    Tags: "",
    Rank: "E",
    Description: "Abilities: Shot, Heal
Heart: 10",
   }</t>
  </si>
  <si>
    <t>{Name: "Wand",
    Type: "",
    Tags: "",
    Rank: "D",
    Description: "Abilities: Shot, Heal, Flight
Heart: 20",
   }</t>
  </si>
  <si>
    <t>{Name: "Wand",
    Type: "",
    Tags: "",
    Rank: "C",
    Description: "Abilities: Shot, Heal, Flight, Dispel
Heart: 40",
   }</t>
  </si>
  <si>
    <t>{Name: "Wand",
    Type: "",
    Tags: "",
    Rank: "B",
    Description: "Abilities: Shot, Heal, Flight, Dispel, Shinsu Wall
Heart: 80",
   }</t>
  </si>
  <si>
    <t>tags</t>
  </si>
  <si>
    <t>rank</t>
  </si>
  <si>
    <t>misc</t>
  </si>
  <si>
    <t>shield</t>
  </si>
  <si>
    <t>weapon</t>
  </si>
  <si>
    <t>lighthouse</t>
  </si>
  <si>
    <t>armor</t>
  </si>
  <si>
    <t>{name: "Dragonslayer Amulet",
    type: "misc",
    tags: "special",
    rank: "",
    description: `A cracked dragon scale set in a golden disc. Attacks you make ignore the Resistance of any dragons or dragonkind.`,
   }</t>
  </si>
  <si>
    <t>{name: "Dragonslayer Greatshield",
    type: "shield",
    tags: "special",
    rank: "B",
    description: `This grants no dice to Brawl rolls made to block an attack. It has 500 Structure and 200 Toughness. If it becomes broken, it is fully repaired by the next day. [-25% damage from dragons]`,
   }</t>
  </si>
  <si>
    <t>{name: "Dragonslayer Greataxe",
    type: "weapon",
    tags: "Blade, special",
    rank: "C",
    description: `While wielding this two-handed axe, your Brawl rolls are Impaired 2 (for a net of +0 dice), but increase your Damage Base by 2 and deal 2d6 Fatigue on a hit. You can hold the axe over your head, charge it with power, and then swing with enough force to devastate anything you hit. This requires an action and causes you to take Injuries and Fatigue equal to half your Might Edge (rounded down). You make a Brawl roll—as normal, your target can attempt to dodge, and they make that roll with 2 more dice. If you hit, you deal triple damage. This includes the base damage, all damage from other sources, and the passive additional damage the axe normally deals (increasing it to 6d6 Fatigue). Whether you hit or not, all creatures adjacent to your target (except you) take 2d6 Injuries (reduced by their Resistance Edge, minimum 1) and 1d6 Fatigue. If, instead, you take an action to charge the axe, then on a hit you deal quintuple damage (increasing the passive damage to 10d6 Fatigue), and all adjacent creatures take 4d6 Injuries (reduced by their Resistance Edge, minimum 1) and 2d6 Fatigue. [+50% damage to dragons]`,
   }</t>
  </si>
  <si>
    <t>{name: "Dragonslayer's Crescent Axe",
    type: "weapon",
    tags: "Blade, special",
    rank: "C",
    description: `While wielding this one-handed axe, your Brawl rolls are Impaired 1 (for a net of +1 dice), but deal 1d6 Fatigue on a hit and increase your Damage Base by 1. [+50% damage to dragons]`,
   }</t>
  </si>
  <si>
    <t>{name: "Opera",
    type: "lighthouse",
    tags: "special",
    rank: "S",
    description: `Allows the Light Bearer to conduct the battlefield to their will.
Range: 1,000 miles
Structure 1000, Toughness 1000
Bonus: +200
Abilities:
-All abilities of a Rank B Lighthouse.
-The Lighthouse can split off fifty smaller units. These units regenerate over time, at a rate of two units per day
-The sub-units can have their sizes changed to be an inch or up to ten feet across.
-The sub-units can be placed on something else (automatically and semi-permanently adhering) and put into a sort of tracking mode- while in this mode, you can find them and their location at any distance.
-While using Light Bearer abilities, treat your Wits as though it was doubled.
-Light Bearer abilities don’t cause you to accept Confusion.
-[Abilities used with this can affect deities]`,
   }</t>
  </si>
  <si>
    <t>{name: "Lancer's Armor",
    type: "armor",
    tags: "special",
    rank: "",
    description: `Summons mount (M 82 A 100 W 30 H 30 R 82. Flight (free)). Mount has own action, rider and mount share movement. Armor has Structure 1000 Toughness 1000, blocks 75% of incoming Injuries/Fatigue, Hinders wearer on all Agility rolls.`,
   }</t>
  </si>
  <si>
    <t>{name: "Life Ring",
    type: "misc",
    tags: "special",
    rank: "D",
    description: `A ring with a gem of red shinsu. Gives +10 Resistance and +5 Might.`,
   }</t>
  </si>
  <si>
    <t>{name: "Demon's Maw",
    type: "weapon",
    tags: "Spear, special",
    rank: "A",
    description: `One of six javelins made from the many mouths of a fear drake. When it hits an enemy, and that enemy is Dying or has three Exhaustion, the fangs open up and swallow that enemy whole. Only one enemy can be swallowed at a time. Anyone inside is held in stasis until they’re released by the destruction of the Demon’s Maw or by using it to swallow another enemy.`,
   }</t>
  </si>
  <si>
    <t>{name: "Hoarfrost Pike",
    type: "weapon",
    tags: "Spear, special",
    rank: "C",
    description: `A halberd that always has a light coating of frost. On hit deals 1d6 Fatigue and Injuries.`,
   }</t>
  </si>
  <si>
    <t>{name: "Lance",
    type: "weapon",
    tags: "Needle, special",
    rank: "C",
    description: `After using action to move, can make a free attack that deals double damage. Target is Hindered on blocking.`,
   }</t>
  </si>
  <si>
    <t>{name: "Armor Inventory",
    type: "inventory",
    tags: "",
    rank: "D",
    description: `Structure 30, Toughness 50, +0 dice.`,
   }</t>
  </si>
  <si>
    <t>{name: "Armor Inventory",
    type: "inventory",
    tags: "",
    rank: "C",
    description: `Structure 60, Toughness 100, +5 dice.`,
   }</t>
  </si>
  <si>
    <t>{name: "Armor Inventory",
    type: "inventory",
    tags: "",
    rank: "B",
    description: `Structure 120, Toughness 150, +8 dice.`,
   }</t>
  </si>
  <si>
    <t>{name: "Armor Inventory",
    type: "inventory",
    tags: "",
    rank: "A",
    description: `Structure &gt;120, Toughness &gt;150, +? Dice.`,
   }</t>
  </si>
  <si>
    <t>{name: "Armor Inventory",
    type: "inventory",
    tags: "",
    rank: "S",
    description: `Structure unknown, Toughness unknown, bonus dice unknown.`,
   }</t>
  </si>
  <si>
    <t>{name: "Lighthouse",
    type: "lighthouse",
    tags: "",
    rank: "E",
    description: `Range: Close
Structure 10
Toughness 5
Bonus: +0
Abilities:
Spreading light in a large area, enough to illuminate a large room
Voice calls between two or more Lighthouses, or between a Pocket and any number of Lighthouses.
Text communication between two or more Lighthouses.
Translating any known language.
Information gathering and relaying. The Lighthouse can record audio and video and transmit that data to any receiving Lighthouse. It can also play recorded audio.
Scan an area, person, or object within Close range.
Various minor utility functions, like a timer and alarm clock.`,
   }</t>
  </si>
  <si>
    <t>{name: "Lighthouse",
    type: "lighthouse",
    tags: "",
    rank: "D",
    description: `Range: Short
Structure 20
Toughness 10
Bonus: +1
Abilities:
All abilities of a Rank E Lighthouse.
Access to BOX, an information-sharing network of Light Bearers. Using BOX, you can find any information that isn’t being deliberately kept secret. Finding information that isn’t readily available requires a Think roll.
Access to a small storage space inside the Lighthouse. This space can hold any one object smaller than a person.
The Lighthouse can support weight up to a small child. This limit applies to any objects in the inside storage space.
Any side of the Lighthouse can function as a display screen, showing any of the recorded images or video, as well as any images or video available over BOX.
The scan range increases to Short.
The Lighthouse can turn itself invisible while inactive. While inactive, it cannot be used as a storage space, nor can any of its abilities be used.`,
   }</t>
  </si>
  <si>
    <t>{name: "Lighthouse",
    type: "lighthouse",
    tags: "",
    rank: "C",
    description: `Range: Medium
Structure 40
Toughness 20
Bonus: +2
Abilities:
All abilities of a Rank D Lighthouse.
The storage space is about the size of a walk-in closet. Additionally, the Light Bearer can be inside the space while controlling the Lighthouse and access all its functions. The interior is fully customizable, including creating furniture.
The Lighthouse can support weight up to two large people, including any objects and people inside the storage space.
The scan range increases to Medium.
The Lighthouse can split off up to three smaller units, in addition to the main Lighthouse. These units do not have a storage space and can only be controlled by the Light Bearer. They do not count against the Light Bearer’s total number of Lighthouses controlled. They also do not grant additional die bonuses. Each Light Bearer can only have one of their controlled Lighthouses do this at a time.`,
   }</t>
  </si>
  <si>
    <t>{name: "Lighthouse",
    type: "lighthouse",
    tags: "",
    rank: "B",
    description: `Range: Long
Structure 75
Toughness 40
Bonus: +5
Abilities:
All abilities of a Rank C Lighthouse.
The storage space is the size of a bedroom, and can provide breathable air and otherwise livable conditions for up to one week. It does not provide food, water, or any other sustenance—it just maintains the internal environment and provides oxygen.
The Lighthouse can support roughly two tons of weight, including any objects and people inside the storage space.
The Lighthouse can split off up to ten smaller units. This otherwise acts like the ability of Rank C Lighthouses.
The scan range increases to Long.
The Lighthouse can turn itself invisible and still be active, using abilities that don’t give off light and having the inside storage space be available for use.`,
   }</t>
  </si>
  <si>
    <t>{name: "Lighthouse",
    type: "lighthouse",
    tags: "",
    rank: "A",
    description: `Range: Long
Structure 150+
Toughness 75+
Bonus: +10
Abilities:
All abilities of a Rank B Lighthouse.
The Lighthouse can split off at least fifty smaller units. The actual maximum is unknown.
The other abilities are currently unknown`,
   }</t>
  </si>
  <si>
    <t>{name: "Lighthouse",
    type: "lighthouse",
    tags: "",
    rank: "S",
    description: `Unknown`,
   }</t>
  </si>
  <si>
    <t>{name: "Wand",
    type: "misc",
    tags: "",
    rank: "E",
    description: `Abilities: Shot, Heal
Heart: 10`,
   }</t>
  </si>
  <si>
    <t>{name: "Wand",
    type: "misc",
    tags: "",
    rank: "D",
    description: `Abilities: Shot, Heal, Flight
Heart: 20`,
   }</t>
  </si>
  <si>
    <t>{name: "Wand",
    type: "misc",
    tags: "",
    rank: "C",
    description: `Abilities: Shot, Heal, Flight, Dispel
Heart: 40`,
   }</t>
  </si>
  <si>
    <t>{name: "Wand",
    type: "misc",
    tags: "",
    rank: "B",
    description: `Abilities: Shot, Heal, Flight, Dispel, Shinsu Wall
Heart: 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</si>
</sst>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Alignment="1">
      <alignment wrapText="1"/>
    </xf>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69B-861A-4FE3-9F7A-8A955FC92014}">
  <dimension ref="A1:I173"/>
  <sheetViews>
    <sheetView zoomScale="115" zoomScaleNormal="115" workbookViewId="0">
      <selection activeCell="H4" sqref="H4"/>
    </sheetView>
  </sheetViews>
  <sheetFormatPr defaultRowHeight="14.5" x14ac:dyDescent="0.35"/>
  <cols>
    <col min="1" max="1" width="11.54296875" customWidth="1"/>
    <col min="2" max="2" width="10.54296875" customWidth="1"/>
    <col min="3" max="3" width="48.26953125" customWidth="1"/>
    <col min="4" max="4" width="6" customWidth="1"/>
    <col min="6" max="6" width="5.26953125" customWidth="1"/>
    <col min="7" max="7" width="3.7265625" customWidth="1"/>
    <col min="8" max="8" width="84.90625" customWidth="1"/>
    <col min="9" max="9" width="72.54296875" customWidth="1"/>
  </cols>
  <sheetData>
    <row r="1" spans="1:9" x14ac:dyDescent="0.35">
      <c r="A1" t="s">
        <v>4</v>
      </c>
      <c r="B1" t="s">
        <v>229</v>
      </c>
      <c r="C1" s="1" t="s">
        <v>0</v>
      </c>
      <c r="D1" t="s">
        <v>5</v>
      </c>
      <c r="E1" t="s">
        <v>1</v>
      </c>
      <c r="F1" s="3" t="s">
        <v>388</v>
      </c>
      <c r="G1" s="1"/>
    </row>
    <row r="2" spans="1:9" ht="174" x14ac:dyDescent="0.35">
      <c r="A2" t="s">
        <v>3</v>
      </c>
      <c r="B2" t="str">
        <f>UPPER(SUBSTITUTE(A2, " ", "_"))</f>
        <v>BEADS</v>
      </c>
      <c r="C2" s="1" t="s">
        <v>319</v>
      </c>
      <c r="D2" t="s">
        <v>2</v>
      </c>
      <c r="E2" t="s">
        <v>228</v>
      </c>
      <c r="F2" s="2" t="s">
        <v>318</v>
      </c>
      <c r="G2" s="1"/>
      <c r="H2" s="1" t="s">
        <v>815</v>
      </c>
    </row>
    <row r="3" spans="1:9" ht="101.5" x14ac:dyDescent="0.35">
      <c r="A3" t="s">
        <v>6</v>
      </c>
      <c r="B3" t="str">
        <f t="shared" ref="B3:B102" si="0">UPPER(SUBSTITUTE(A3, " ", "_"))</f>
        <v>FLIGHT</v>
      </c>
      <c r="C3" s="1" t="s">
        <v>21</v>
      </c>
      <c r="D3" t="s">
        <v>2</v>
      </c>
      <c r="E3" t="s">
        <v>228</v>
      </c>
      <c r="F3" s="2" t="s">
        <v>318</v>
      </c>
      <c r="G3" s="1"/>
      <c r="H3" s="1" t="s">
        <v>816</v>
      </c>
      <c r="I3" s="1"/>
    </row>
    <row r="4" spans="1:9" ht="304.5" x14ac:dyDescent="0.35">
      <c r="A4" t="s">
        <v>7</v>
      </c>
      <c r="B4" t="str">
        <f t="shared" si="0"/>
        <v>SHINSU_REINFORCEMENT_[EXTENDED]</v>
      </c>
      <c r="C4" s="1" t="s">
        <v>22</v>
      </c>
      <c r="D4" t="s">
        <v>2</v>
      </c>
      <c r="E4" t="s">
        <v>228</v>
      </c>
      <c r="F4" s="2" t="s">
        <v>318</v>
      </c>
      <c r="G4" s="1"/>
      <c r="H4" s="1" t="s">
        <v>817</v>
      </c>
      <c r="I4" s="1"/>
    </row>
    <row r="5" spans="1:9" ht="101.5" x14ac:dyDescent="0.35">
      <c r="A5" t="s">
        <v>8</v>
      </c>
      <c r="B5" t="str">
        <f t="shared" si="0"/>
        <v>SUPERHUMAN_SPEED</v>
      </c>
      <c r="C5" s="1" t="s">
        <v>23</v>
      </c>
      <c r="D5" t="s">
        <v>2</v>
      </c>
      <c r="E5" t="s">
        <v>228</v>
      </c>
      <c r="F5" s="2" t="s">
        <v>317</v>
      </c>
      <c r="G5" s="1"/>
      <c r="H5" s="1" t="s">
        <v>818</v>
      </c>
      <c r="I5" s="1"/>
    </row>
    <row r="6" spans="1:9" ht="275.5" x14ac:dyDescent="0.35">
      <c r="A6" t="s">
        <v>9</v>
      </c>
      <c r="B6" t="str">
        <f t="shared" si="0"/>
        <v>SUPERHUMAN_STRENGTH</v>
      </c>
      <c r="C6" s="1" t="s">
        <v>24</v>
      </c>
      <c r="D6" t="s">
        <v>2</v>
      </c>
      <c r="E6" t="s">
        <v>228</v>
      </c>
      <c r="F6" s="2" t="s">
        <v>317</v>
      </c>
      <c r="G6" s="1"/>
      <c r="H6" s="1" t="s">
        <v>819</v>
      </c>
      <c r="I6" s="1"/>
    </row>
    <row r="7" spans="1:9" ht="130.5" x14ac:dyDescent="0.35">
      <c r="A7" t="s">
        <v>10</v>
      </c>
      <c r="B7" t="str">
        <f t="shared" si="0"/>
        <v>GIVE_IT_EVERYTHING</v>
      </c>
      <c r="C7" s="1" t="s">
        <v>25</v>
      </c>
      <c r="D7" t="s">
        <v>2</v>
      </c>
      <c r="E7" t="s">
        <v>228</v>
      </c>
      <c r="F7" s="2" t="s">
        <v>317</v>
      </c>
      <c r="G7" s="1"/>
      <c r="H7" s="1" t="s">
        <v>820</v>
      </c>
      <c r="I7" s="1"/>
    </row>
    <row r="8" spans="1:9" ht="87" x14ac:dyDescent="0.35">
      <c r="A8" t="s">
        <v>11</v>
      </c>
      <c r="B8" t="str">
        <f t="shared" si="0"/>
        <v>LONG_LIFE</v>
      </c>
      <c r="C8" s="1" t="s">
        <v>26</v>
      </c>
      <c r="D8" t="s">
        <v>2</v>
      </c>
      <c r="E8" t="s">
        <v>228</v>
      </c>
      <c r="F8" s="2" t="s">
        <v>317</v>
      </c>
      <c r="G8" s="1"/>
      <c r="H8" s="1" t="s">
        <v>821</v>
      </c>
      <c r="I8" s="1"/>
    </row>
    <row r="9" spans="1:9" ht="159.5" x14ac:dyDescent="0.35">
      <c r="A9" t="s">
        <v>12</v>
      </c>
      <c r="B9" t="str">
        <f t="shared" si="0"/>
        <v>COMPRESSION</v>
      </c>
      <c r="C9" s="1" t="s">
        <v>27</v>
      </c>
      <c r="D9" t="s">
        <v>2</v>
      </c>
      <c r="E9" t="s">
        <v>228</v>
      </c>
      <c r="F9" s="2" t="s">
        <v>317</v>
      </c>
      <c r="G9" s="1"/>
      <c r="H9" s="1" t="s">
        <v>822</v>
      </c>
      <c r="I9" s="1"/>
    </row>
    <row r="10" spans="1:9" ht="87" x14ac:dyDescent="0.35">
      <c r="A10" t="s">
        <v>13</v>
      </c>
      <c r="B10" t="str">
        <f t="shared" si="0"/>
        <v>UP_CLOSE_AND_PERSONAL</v>
      </c>
      <c r="C10" s="1" t="s">
        <v>28</v>
      </c>
      <c r="D10" t="s">
        <v>2</v>
      </c>
      <c r="E10" t="s">
        <v>228</v>
      </c>
      <c r="F10" s="2" t="s">
        <v>317</v>
      </c>
      <c r="G10" s="1"/>
      <c r="H10" s="1" t="s">
        <v>823</v>
      </c>
      <c r="I10" s="1"/>
    </row>
    <row r="11" spans="1:9" ht="174" x14ac:dyDescent="0.35">
      <c r="A11" t="s">
        <v>14</v>
      </c>
      <c r="B11" t="str">
        <f t="shared" si="0"/>
        <v>HEAL</v>
      </c>
      <c r="C11" s="1" t="s">
        <v>29</v>
      </c>
      <c r="D11" t="s">
        <v>2</v>
      </c>
      <c r="E11" t="s">
        <v>228</v>
      </c>
      <c r="F11" s="2" t="s">
        <v>318</v>
      </c>
      <c r="G11" s="1"/>
      <c r="H11" s="1" t="s">
        <v>824</v>
      </c>
      <c r="I11" s="1"/>
    </row>
    <row r="12" spans="1:9" ht="87" x14ac:dyDescent="0.35">
      <c r="A12" t="s">
        <v>15</v>
      </c>
      <c r="B12" t="str">
        <f t="shared" si="0"/>
        <v>DUAL_TRAINING</v>
      </c>
      <c r="C12" s="1" t="s">
        <v>30</v>
      </c>
      <c r="D12" t="s">
        <v>2</v>
      </c>
      <c r="E12" t="s">
        <v>228</v>
      </c>
      <c r="F12" s="2" t="s">
        <v>317</v>
      </c>
      <c r="G12" s="1"/>
      <c r="H12" s="1" t="s">
        <v>825</v>
      </c>
      <c r="I12" s="1"/>
    </row>
    <row r="13" spans="1:9" ht="87" x14ac:dyDescent="0.35">
      <c r="A13" t="s">
        <v>16</v>
      </c>
      <c r="B13" t="str">
        <f t="shared" si="0"/>
        <v>MANY-WEAPON_TRAINING</v>
      </c>
      <c r="C13" s="1" t="s">
        <v>31</v>
      </c>
      <c r="D13" t="s">
        <v>2</v>
      </c>
      <c r="E13" t="s">
        <v>228</v>
      </c>
      <c r="F13" s="2" t="s">
        <v>317</v>
      </c>
      <c r="G13" s="1"/>
      <c r="H13" s="1" t="s">
        <v>826</v>
      </c>
      <c r="I13" s="1"/>
    </row>
    <row r="14" spans="1:9" ht="87" x14ac:dyDescent="0.35">
      <c r="A14" t="s">
        <v>17</v>
      </c>
      <c r="B14" t="str">
        <f t="shared" si="0"/>
        <v>TITAN'S_GRIP</v>
      </c>
      <c r="C14" s="1" t="s">
        <v>32</v>
      </c>
      <c r="D14" t="s">
        <v>2</v>
      </c>
      <c r="E14" t="s">
        <v>228</v>
      </c>
      <c r="F14" s="2" t="s">
        <v>317</v>
      </c>
      <c r="G14" s="1"/>
      <c r="H14" s="1" t="s">
        <v>827</v>
      </c>
      <c r="I14" s="1"/>
    </row>
    <row r="15" spans="1:9" ht="87" x14ac:dyDescent="0.35">
      <c r="A15" t="s">
        <v>18</v>
      </c>
      <c r="B15" t="str">
        <f t="shared" si="0"/>
        <v>SHARP_AS_BROKEN_GLASS</v>
      </c>
      <c r="C15" s="1" t="s">
        <v>33</v>
      </c>
      <c r="D15" t="s">
        <v>2</v>
      </c>
      <c r="E15" t="s">
        <v>228</v>
      </c>
      <c r="F15" s="2" t="s">
        <v>317</v>
      </c>
      <c r="G15" s="1"/>
      <c r="H15" s="1" t="s">
        <v>828</v>
      </c>
      <c r="I15" s="1"/>
    </row>
    <row r="16" spans="1:9" ht="409.5" x14ac:dyDescent="0.35">
      <c r="A16" t="s">
        <v>19</v>
      </c>
      <c r="B16" t="str">
        <f>UPPER(SUBSTITUTE(A16, " ", "_"))</f>
        <v>CALLED_SHOT</v>
      </c>
      <c r="C16" s="1" t="s">
        <v>20</v>
      </c>
      <c r="D16" t="s">
        <v>2</v>
      </c>
      <c r="E16" t="s">
        <v>228</v>
      </c>
      <c r="F16" s="2" t="s">
        <v>317</v>
      </c>
      <c r="G16" s="1"/>
      <c r="H16" s="1" t="s">
        <v>829</v>
      </c>
      <c r="I16" s="1" t="str">
        <f>IF(ISERROR(SEARCH("This ability uses shinsu", F16)), "err", "noerr")</f>
        <v>err</v>
      </c>
    </row>
    <row r="17" spans="1:9" ht="261" x14ac:dyDescent="0.35">
      <c r="A17" t="s">
        <v>295</v>
      </c>
      <c r="B17" t="str">
        <f t="shared" ref="B17:B44" si="1">UPPER(SUBSTITUTE(A17, " ", "_"))</f>
        <v>SHINSU_QUALITY_(LIGHTNING)</v>
      </c>
      <c r="C17" s="1" t="s">
        <v>302</v>
      </c>
      <c r="D17" t="s">
        <v>2</v>
      </c>
      <c r="E17" t="s">
        <v>388</v>
      </c>
      <c r="F17" s="2" t="s">
        <v>318</v>
      </c>
      <c r="G17" s="1"/>
      <c r="H17" s="1" t="s">
        <v>830</v>
      </c>
      <c r="I17" s="1" t="str">
        <f t="shared" ref="I17:I46" si="2">IF(ISERROR(SEARCH("This ability uses shinsu", F17)), "err", "noerr")</f>
        <v>err</v>
      </c>
    </row>
    <row r="18" spans="1:9" ht="333.5" x14ac:dyDescent="0.35">
      <c r="A18" t="s">
        <v>274</v>
      </c>
      <c r="B18" t="str">
        <f t="shared" si="1"/>
        <v>LIGHTNING_STRIKE</v>
      </c>
      <c r="C18" s="1" t="s">
        <v>320</v>
      </c>
      <c r="D18" t="s">
        <v>2</v>
      </c>
      <c r="E18" t="s">
        <v>388</v>
      </c>
      <c r="F18" s="2" t="s">
        <v>318</v>
      </c>
      <c r="G18" s="1"/>
      <c r="H18" s="1" t="s">
        <v>831</v>
      </c>
      <c r="I18" s="1" t="str">
        <f t="shared" si="2"/>
        <v>err</v>
      </c>
    </row>
    <row r="19" spans="1:9" ht="304.5" x14ac:dyDescent="0.35">
      <c r="A19" t="s">
        <v>275</v>
      </c>
      <c r="B19" t="str">
        <f t="shared" si="1"/>
        <v>CHAIN_LIGHTNING</v>
      </c>
      <c r="C19" s="1" t="s">
        <v>303</v>
      </c>
      <c r="D19" t="s">
        <v>2</v>
      </c>
      <c r="E19" t="s">
        <v>388</v>
      </c>
      <c r="F19" s="2" t="s">
        <v>318</v>
      </c>
      <c r="G19" s="1"/>
      <c r="H19" s="1" t="s">
        <v>832</v>
      </c>
      <c r="I19" s="1" t="str">
        <f t="shared" si="2"/>
        <v>err</v>
      </c>
    </row>
    <row r="20" spans="1:9" ht="304.5" x14ac:dyDescent="0.35">
      <c r="A20" t="s">
        <v>276</v>
      </c>
      <c r="B20" t="str">
        <f t="shared" si="1"/>
        <v>BOLT_RIDER</v>
      </c>
      <c r="C20" s="1" t="s">
        <v>304</v>
      </c>
      <c r="D20" t="s">
        <v>2</v>
      </c>
      <c r="E20" t="s">
        <v>388</v>
      </c>
      <c r="F20" s="2" t="s">
        <v>318</v>
      </c>
      <c r="G20" s="1"/>
      <c r="H20" s="1" t="s">
        <v>833</v>
      </c>
      <c r="I20" s="1" t="str">
        <f t="shared" si="2"/>
        <v>err</v>
      </c>
    </row>
    <row r="21" spans="1:9" ht="188.5" x14ac:dyDescent="0.35">
      <c r="A21" t="s">
        <v>296</v>
      </c>
      <c r="B21" t="str">
        <f t="shared" si="1"/>
        <v>SHINSU_QUALITY_(WIND)</v>
      </c>
      <c r="C21" s="1" t="s">
        <v>321</v>
      </c>
      <c r="D21" t="s">
        <v>2</v>
      </c>
      <c r="E21" t="s">
        <v>388</v>
      </c>
      <c r="F21" s="2" t="s">
        <v>318</v>
      </c>
      <c r="G21" s="1"/>
      <c r="H21" s="1" t="s">
        <v>834</v>
      </c>
      <c r="I21" s="1" t="str">
        <f t="shared" si="2"/>
        <v>err</v>
      </c>
    </row>
    <row r="22" spans="1:9" ht="87" x14ac:dyDescent="0.35">
      <c r="A22" t="s">
        <v>277</v>
      </c>
      <c r="B22" t="str">
        <f t="shared" si="1"/>
        <v>WHIRLWIND_[EXTENDED]</v>
      </c>
      <c r="C22" s="1" t="s">
        <v>322</v>
      </c>
      <c r="D22" t="s">
        <v>2</v>
      </c>
      <c r="E22" t="s">
        <v>388</v>
      </c>
      <c r="F22" s="2" t="s">
        <v>318</v>
      </c>
      <c r="G22" s="1"/>
      <c r="H22" s="1" t="s">
        <v>835</v>
      </c>
      <c r="I22" s="1" t="str">
        <f t="shared" si="2"/>
        <v>err</v>
      </c>
    </row>
    <row r="23" spans="1:9" ht="116" x14ac:dyDescent="0.35">
      <c r="A23" t="s">
        <v>278</v>
      </c>
      <c r="B23" t="str">
        <f t="shared" si="1"/>
        <v>GUST</v>
      </c>
      <c r="C23" s="1" t="s">
        <v>305</v>
      </c>
      <c r="D23" t="s">
        <v>2</v>
      </c>
      <c r="E23" t="s">
        <v>388</v>
      </c>
      <c r="F23" s="2" t="s">
        <v>318</v>
      </c>
      <c r="G23" s="1"/>
      <c r="H23" s="1" t="s">
        <v>836</v>
      </c>
      <c r="I23" s="1" t="str">
        <f t="shared" si="2"/>
        <v>err</v>
      </c>
    </row>
    <row r="24" spans="1:9" ht="101.5" x14ac:dyDescent="0.35">
      <c r="A24" t="s">
        <v>279</v>
      </c>
      <c r="B24" t="str">
        <f t="shared" si="1"/>
        <v>STILL_AND_STIR_THE_AIR</v>
      </c>
      <c r="C24" s="1" t="s">
        <v>306</v>
      </c>
      <c r="D24" t="s">
        <v>2</v>
      </c>
      <c r="E24" t="s">
        <v>388</v>
      </c>
      <c r="F24" s="2" t="s">
        <v>318</v>
      </c>
      <c r="G24" s="1"/>
      <c r="H24" s="1" t="s">
        <v>837</v>
      </c>
      <c r="I24" s="1" t="str">
        <f t="shared" si="2"/>
        <v>err</v>
      </c>
    </row>
    <row r="25" spans="1:9" ht="101.5" x14ac:dyDescent="0.35">
      <c r="A25" t="s">
        <v>297</v>
      </c>
      <c r="B25" t="str">
        <f t="shared" si="1"/>
        <v>SHINSU_QUALITY_(ICE)</v>
      </c>
      <c r="C25" s="1" t="s">
        <v>307</v>
      </c>
      <c r="D25" t="s">
        <v>2</v>
      </c>
      <c r="E25" t="s">
        <v>388</v>
      </c>
      <c r="F25" s="2" t="s">
        <v>318</v>
      </c>
      <c r="G25" s="1"/>
      <c r="H25" s="1" t="s">
        <v>838</v>
      </c>
      <c r="I25" s="1" t="str">
        <f t="shared" si="2"/>
        <v>err</v>
      </c>
    </row>
    <row r="26" spans="1:9" ht="116" x14ac:dyDescent="0.35">
      <c r="A26" t="s">
        <v>280</v>
      </c>
      <c r="B26" t="str">
        <f t="shared" si="1"/>
        <v>ICE_RINK</v>
      </c>
      <c r="C26" s="1" t="s">
        <v>308</v>
      </c>
      <c r="D26" t="s">
        <v>2</v>
      </c>
      <c r="E26" t="s">
        <v>388</v>
      </c>
      <c r="F26" s="2" t="s">
        <v>318</v>
      </c>
      <c r="G26" s="1"/>
      <c r="H26" s="1" t="s">
        <v>839</v>
      </c>
      <c r="I26" s="1" t="str">
        <f t="shared" si="2"/>
        <v>err</v>
      </c>
    </row>
    <row r="27" spans="1:9" ht="101.5" x14ac:dyDescent="0.35">
      <c r="A27" t="s">
        <v>281</v>
      </c>
      <c r="B27" t="str">
        <f t="shared" si="1"/>
        <v>POLAR_MIDNIGHT</v>
      </c>
      <c r="C27" s="1" t="s">
        <v>323</v>
      </c>
      <c r="D27" t="s">
        <v>2</v>
      </c>
      <c r="E27" t="s">
        <v>388</v>
      </c>
      <c r="F27" s="2" t="s">
        <v>318</v>
      </c>
      <c r="G27" s="1"/>
      <c r="H27" s="1"/>
      <c r="I27" s="1" t="str">
        <f t="shared" si="2"/>
        <v>err</v>
      </c>
    </row>
    <row r="28" spans="1:9" ht="145" x14ac:dyDescent="0.35">
      <c r="A28" t="s">
        <v>282</v>
      </c>
      <c r="B28" t="str">
        <f t="shared" si="1"/>
        <v>FROZEN_GRAPESHOT</v>
      </c>
      <c r="C28" s="1" t="s">
        <v>309</v>
      </c>
      <c r="D28" t="s">
        <v>2</v>
      </c>
      <c r="E28" t="s">
        <v>388</v>
      </c>
      <c r="F28" s="2" t="s">
        <v>318</v>
      </c>
      <c r="G28" s="1"/>
      <c r="H28" s="1"/>
      <c r="I28" s="1" t="str">
        <f t="shared" si="2"/>
        <v>err</v>
      </c>
    </row>
    <row r="29" spans="1:9" ht="101.5" x14ac:dyDescent="0.35">
      <c r="A29" t="s">
        <v>298</v>
      </c>
      <c r="B29" t="str">
        <f t="shared" si="1"/>
        <v>SHINSU_QUALITY_(FIRE)</v>
      </c>
      <c r="C29" s="1" t="s">
        <v>324</v>
      </c>
      <c r="D29" t="s">
        <v>2</v>
      </c>
      <c r="E29" t="s">
        <v>388</v>
      </c>
      <c r="F29" s="2" t="s">
        <v>318</v>
      </c>
      <c r="G29" s="1"/>
      <c r="H29" s="1"/>
      <c r="I29" s="1" t="str">
        <f t="shared" si="2"/>
        <v>err</v>
      </c>
    </row>
    <row r="30" spans="1:9" ht="159.5" x14ac:dyDescent="0.35">
      <c r="A30" t="s">
        <v>283</v>
      </c>
      <c r="B30" t="str">
        <f t="shared" si="1"/>
        <v>INFERNO_[EXTENDED]</v>
      </c>
      <c r="C30" s="1" t="s">
        <v>325</v>
      </c>
      <c r="D30" t="s">
        <v>2</v>
      </c>
      <c r="E30" t="s">
        <v>388</v>
      </c>
      <c r="F30" s="2" t="s">
        <v>318</v>
      </c>
      <c r="G30" s="1"/>
      <c r="H30" s="1"/>
      <c r="I30" s="1" t="str">
        <f t="shared" si="2"/>
        <v>err</v>
      </c>
    </row>
    <row r="31" spans="1:9" ht="174" x14ac:dyDescent="0.35">
      <c r="A31" t="s">
        <v>284</v>
      </c>
      <c r="B31" t="str">
        <f t="shared" si="1"/>
        <v>FIREBALL</v>
      </c>
      <c r="C31" s="1" t="s">
        <v>310</v>
      </c>
      <c r="D31" t="s">
        <v>2</v>
      </c>
      <c r="E31" t="s">
        <v>388</v>
      </c>
      <c r="F31" s="2" t="s">
        <v>318</v>
      </c>
      <c r="G31" s="1"/>
      <c r="H31" s="1"/>
      <c r="I31" s="1" t="str">
        <f t="shared" si="2"/>
        <v>err</v>
      </c>
    </row>
    <row r="32" spans="1:9" ht="232" x14ac:dyDescent="0.35">
      <c r="A32" t="s">
        <v>285</v>
      </c>
      <c r="B32" t="str">
        <f t="shared" si="1"/>
        <v>FLARE_[EXTENDED]</v>
      </c>
      <c r="C32" s="1" t="s">
        <v>326</v>
      </c>
      <c r="D32" t="s">
        <v>2</v>
      </c>
      <c r="E32" t="s">
        <v>388</v>
      </c>
      <c r="F32" s="2" t="s">
        <v>318</v>
      </c>
      <c r="G32" s="1"/>
      <c r="H32" s="1"/>
      <c r="I32" s="1" t="str">
        <f t="shared" si="2"/>
        <v>err</v>
      </c>
    </row>
    <row r="33" spans="1:9" ht="58" x14ac:dyDescent="0.35">
      <c r="A33" t="s">
        <v>299</v>
      </c>
      <c r="B33" t="str">
        <f t="shared" si="1"/>
        <v>SHINSU_QUALITY_(ROCK)</v>
      </c>
      <c r="C33" s="1" t="s">
        <v>327</v>
      </c>
      <c r="D33" t="s">
        <v>2</v>
      </c>
      <c r="E33" t="s">
        <v>388</v>
      </c>
      <c r="F33" s="2" t="s">
        <v>318</v>
      </c>
      <c r="G33" s="1"/>
      <c r="H33" s="1"/>
      <c r="I33" s="1" t="str">
        <f t="shared" si="2"/>
        <v>err</v>
      </c>
    </row>
    <row r="34" spans="1:9" ht="43.5" x14ac:dyDescent="0.35">
      <c r="A34" t="s">
        <v>286</v>
      </c>
      <c r="B34" t="str">
        <f t="shared" si="1"/>
        <v>STONE_SKIN</v>
      </c>
      <c r="C34" s="1" t="s">
        <v>311</v>
      </c>
      <c r="D34" t="s">
        <v>2</v>
      </c>
      <c r="E34" t="s">
        <v>388</v>
      </c>
      <c r="F34" s="2" t="s">
        <v>318</v>
      </c>
      <c r="G34" s="1"/>
      <c r="H34" s="1"/>
      <c r="I34" s="1" t="str">
        <f t="shared" si="2"/>
        <v>err</v>
      </c>
    </row>
    <row r="35" spans="1:9" ht="29" x14ac:dyDescent="0.35">
      <c r="A35" t="s">
        <v>287</v>
      </c>
      <c r="B35" t="str">
        <f t="shared" si="1"/>
        <v>TOUGHNESS</v>
      </c>
      <c r="C35" s="1" t="s">
        <v>312</v>
      </c>
      <c r="D35" t="s">
        <v>2</v>
      </c>
      <c r="E35" t="s">
        <v>388</v>
      </c>
      <c r="F35" s="2" t="s">
        <v>318</v>
      </c>
      <c r="G35" s="1"/>
      <c r="H35" s="1"/>
      <c r="I35" s="1" t="str">
        <f t="shared" si="2"/>
        <v>err</v>
      </c>
    </row>
    <row r="36" spans="1:9" ht="58" x14ac:dyDescent="0.35">
      <c r="A36" t="s">
        <v>288</v>
      </c>
      <c r="B36" t="str">
        <f t="shared" si="1"/>
        <v>CLOSED_MIND</v>
      </c>
      <c r="C36" s="1" t="s">
        <v>328</v>
      </c>
      <c r="D36" t="s">
        <v>2</v>
      </c>
      <c r="E36" t="s">
        <v>388</v>
      </c>
      <c r="F36" s="2" t="s">
        <v>318</v>
      </c>
      <c r="G36" s="1"/>
      <c r="H36" s="1"/>
      <c r="I36" s="1" t="str">
        <f t="shared" si="2"/>
        <v>err</v>
      </c>
    </row>
    <row r="37" spans="1:9" ht="72.5" x14ac:dyDescent="0.35">
      <c r="A37" t="s">
        <v>300</v>
      </c>
      <c r="B37" t="str">
        <f t="shared" si="1"/>
        <v>SHINSU_QUALITY_(WATER)</v>
      </c>
      <c r="C37" s="1" t="s">
        <v>313</v>
      </c>
      <c r="D37" t="s">
        <v>2</v>
      </c>
      <c r="E37" t="s">
        <v>388</v>
      </c>
      <c r="F37" s="2" t="s">
        <v>318</v>
      </c>
      <c r="G37" s="1"/>
      <c r="H37" s="1"/>
      <c r="I37" s="1" t="str">
        <f t="shared" si="2"/>
        <v>err</v>
      </c>
    </row>
    <row r="38" spans="1:9" ht="101.5" x14ac:dyDescent="0.35">
      <c r="A38" t="s">
        <v>289</v>
      </c>
      <c r="B38" t="str">
        <f t="shared" si="1"/>
        <v>CRASHING_WAVE</v>
      </c>
      <c r="C38" s="1" t="s">
        <v>329</v>
      </c>
      <c r="D38" t="s">
        <v>2</v>
      </c>
      <c r="E38" t="s">
        <v>388</v>
      </c>
      <c r="F38" s="2" t="s">
        <v>318</v>
      </c>
      <c r="G38" s="1"/>
      <c r="H38" s="1"/>
      <c r="I38" s="1" t="str">
        <f t="shared" si="2"/>
        <v>err</v>
      </c>
    </row>
    <row r="39" spans="1:9" ht="116" x14ac:dyDescent="0.35">
      <c r="A39" t="s">
        <v>290</v>
      </c>
      <c r="B39" t="str">
        <f t="shared" si="1"/>
        <v>MAELSTROM_[EXTENDED]</v>
      </c>
      <c r="C39" s="1" t="s">
        <v>330</v>
      </c>
      <c r="D39" t="s">
        <v>2</v>
      </c>
      <c r="E39" t="s">
        <v>388</v>
      </c>
      <c r="F39" s="2" t="s">
        <v>318</v>
      </c>
      <c r="G39" s="1"/>
      <c r="H39" s="1"/>
      <c r="I39" s="1" t="str">
        <f t="shared" si="2"/>
        <v>err</v>
      </c>
    </row>
    <row r="40" spans="1:9" ht="58" x14ac:dyDescent="0.35">
      <c r="A40" t="s">
        <v>291</v>
      </c>
      <c r="B40" t="str">
        <f t="shared" si="1"/>
        <v>PURIFY_BODY</v>
      </c>
      <c r="C40" s="1" t="s">
        <v>314</v>
      </c>
      <c r="D40" t="s">
        <v>2</v>
      </c>
      <c r="E40" t="s">
        <v>388</v>
      </c>
      <c r="F40" s="2" t="s">
        <v>318</v>
      </c>
      <c r="G40" s="1"/>
      <c r="H40" s="1"/>
      <c r="I40" s="1" t="str">
        <f t="shared" si="2"/>
        <v>err</v>
      </c>
    </row>
    <row r="41" spans="1:9" ht="116" x14ac:dyDescent="0.35">
      <c r="A41" t="s">
        <v>301</v>
      </c>
      <c r="B41" t="str">
        <f t="shared" si="1"/>
        <v>SHINSU_QUALITY_(STEEL)</v>
      </c>
      <c r="C41" s="1" t="s">
        <v>315</v>
      </c>
      <c r="D41" t="s">
        <v>2</v>
      </c>
      <c r="E41" t="s">
        <v>388</v>
      </c>
      <c r="F41" s="2" t="s">
        <v>318</v>
      </c>
      <c r="G41" s="1"/>
      <c r="H41" s="1"/>
      <c r="I41" s="1" t="str">
        <f t="shared" si="2"/>
        <v>err</v>
      </c>
    </row>
    <row r="42" spans="1:9" x14ac:dyDescent="0.35">
      <c r="A42" t="s">
        <v>292</v>
      </c>
      <c r="B42" t="str">
        <f t="shared" si="1"/>
        <v>PLACEHOLDER</v>
      </c>
      <c r="C42" s="1" t="s">
        <v>316</v>
      </c>
      <c r="D42" t="s">
        <v>2</v>
      </c>
      <c r="E42" t="s">
        <v>388</v>
      </c>
      <c r="F42" s="2" t="s">
        <v>318</v>
      </c>
      <c r="G42" s="1"/>
      <c r="H42" s="1"/>
      <c r="I42" s="1" t="str">
        <f t="shared" si="2"/>
        <v>err</v>
      </c>
    </row>
    <row r="43" spans="1:9" ht="58" x14ac:dyDescent="0.35">
      <c r="A43" t="s">
        <v>293</v>
      </c>
      <c r="B43" t="str">
        <f t="shared" si="1"/>
        <v>ARMED_AND_READY</v>
      </c>
      <c r="C43" s="1" t="s">
        <v>331</v>
      </c>
      <c r="D43" t="s">
        <v>2</v>
      </c>
      <c r="E43" t="s">
        <v>388</v>
      </c>
      <c r="F43" s="2" t="s">
        <v>318</v>
      </c>
      <c r="G43" s="1"/>
      <c r="H43" s="1"/>
      <c r="I43" s="1" t="str">
        <f t="shared" si="2"/>
        <v>err</v>
      </c>
    </row>
    <row r="44" spans="1:9" ht="246.5" x14ac:dyDescent="0.35">
      <c r="A44" t="s">
        <v>294</v>
      </c>
      <c r="B44" t="str">
        <f t="shared" si="1"/>
        <v>ARMOR_STORM</v>
      </c>
      <c r="C44" s="1" t="s">
        <v>387</v>
      </c>
      <c r="D44" t="s">
        <v>2</v>
      </c>
      <c r="E44" t="s">
        <v>388</v>
      </c>
      <c r="F44" s="2" t="s">
        <v>318</v>
      </c>
      <c r="G44" s="1"/>
      <c r="H44" s="1"/>
      <c r="I44" s="1" t="str">
        <f t="shared" si="2"/>
        <v>err</v>
      </c>
    </row>
    <row r="45" spans="1:9" ht="188.5" x14ac:dyDescent="0.35">
      <c r="A45" t="s">
        <v>247</v>
      </c>
      <c r="B45" t="str">
        <f t="shared" si="0"/>
        <v>WEAPON_SKILLS_(HOOK)</v>
      </c>
      <c r="C45" s="1" t="s">
        <v>332</v>
      </c>
      <c r="D45" t="s">
        <v>56</v>
      </c>
      <c r="E45" t="s">
        <v>150</v>
      </c>
      <c r="F45" s="2" t="str">
        <f>IF(ISERROR( SEARCH("shinsu",C45)), "false", "true")</f>
        <v>false</v>
      </c>
      <c r="G45" s="1"/>
      <c r="H45" s="1"/>
      <c r="I45" s="1" t="str">
        <f t="shared" si="2"/>
        <v>err</v>
      </c>
    </row>
    <row r="46" spans="1:9" ht="101.5" x14ac:dyDescent="0.35">
      <c r="A46" t="s">
        <v>248</v>
      </c>
      <c r="B46" t="str">
        <f t="shared" si="0"/>
        <v>WEAPON_SKILLS_(NEEDLE)</v>
      </c>
      <c r="C46" s="1" t="s">
        <v>333</v>
      </c>
      <c r="D46" t="s">
        <v>56</v>
      </c>
      <c r="E46" t="s">
        <v>150</v>
      </c>
      <c r="F46" s="2" t="str">
        <f t="shared" ref="F46:F108" si="3">IF(ISERROR( SEARCH("shinsu",C46)), "false", "true")</f>
        <v>false</v>
      </c>
      <c r="G46" s="1"/>
      <c r="H46" s="1"/>
      <c r="I46" s="1" t="str">
        <f t="shared" si="2"/>
        <v>err</v>
      </c>
    </row>
    <row r="47" spans="1:9" ht="58" x14ac:dyDescent="0.35">
      <c r="A47" t="s">
        <v>249</v>
      </c>
      <c r="B47" t="str">
        <f t="shared" si="0"/>
        <v>WEAPON_SKILLS_(BLADE)</v>
      </c>
      <c r="C47" s="1" t="s">
        <v>252</v>
      </c>
      <c r="D47" t="s">
        <v>56</v>
      </c>
      <c r="E47" t="s">
        <v>150</v>
      </c>
      <c r="F47" s="2" t="str">
        <f t="shared" si="3"/>
        <v>false</v>
      </c>
      <c r="G47" s="1"/>
      <c r="H47" s="1"/>
      <c r="I47" s="1" t="str">
        <f>IF(ISERROR(SEARCH("This ability uses shinsu", F47)), "err", "noerr")</f>
        <v>err</v>
      </c>
    </row>
    <row r="48" spans="1:9" ht="159.5" x14ac:dyDescent="0.35">
      <c r="A48" t="s">
        <v>250</v>
      </c>
      <c r="B48" t="str">
        <f t="shared" si="0"/>
        <v>WEAPON_SKILLS_(BLUDGEON)</v>
      </c>
      <c r="C48" s="1" t="s">
        <v>253</v>
      </c>
      <c r="D48" t="s">
        <v>56</v>
      </c>
      <c r="E48" t="s">
        <v>150</v>
      </c>
      <c r="F48" s="2" t="str">
        <f t="shared" si="3"/>
        <v>false</v>
      </c>
      <c r="G48" s="1"/>
      <c r="H48" s="1"/>
      <c r="I48" s="1"/>
    </row>
    <row r="49" spans="1:9" ht="116" x14ac:dyDescent="0.35">
      <c r="A49" t="s">
        <v>251</v>
      </c>
      <c r="B49" t="str">
        <f t="shared" si="0"/>
        <v>WEAPON_SKILLS_(UNARMED)</v>
      </c>
      <c r="C49" s="1" t="s">
        <v>334</v>
      </c>
      <c r="D49" t="s">
        <v>56</v>
      </c>
      <c r="E49" t="s">
        <v>150</v>
      </c>
      <c r="F49" s="2" t="str">
        <f t="shared" si="3"/>
        <v>false</v>
      </c>
      <c r="G49" s="1"/>
      <c r="H49" s="1"/>
      <c r="I49" s="1"/>
    </row>
    <row r="50" spans="1:9" ht="101.5" x14ac:dyDescent="0.35">
      <c r="A50" t="s">
        <v>34</v>
      </c>
      <c r="B50" t="str">
        <f t="shared" si="0"/>
        <v>DISARM</v>
      </c>
      <c r="C50" s="1" t="s">
        <v>335</v>
      </c>
      <c r="D50" t="s">
        <v>56</v>
      </c>
      <c r="E50" t="s">
        <v>150</v>
      </c>
      <c r="F50" s="2" t="str">
        <f t="shared" si="3"/>
        <v>false</v>
      </c>
      <c r="G50" s="1"/>
      <c r="H50" s="1"/>
      <c r="I50" s="1"/>
    </row>
    <row r="51" spans="1:9" ht="29" x14ac:dyDescent="0.35">
      <c r="A51" t="s">
        <v>35</v>
      </c>
      <c r="B51" t="str">
        <f t="shared" si="0"/>
        <v>BRUISER</v>
      </c>
      <c r="C51" s="1" t="s">
        <v>47</v>
      </c>
      <c r="D51" t="s">
        <v>56</v>
      </c>
      <c r="E51" t="s">
        <v>150</v>
      </c>
      <c r="F51" s="2" t="str">
        <f t="shared" si="3"/>
        <v>false</v>
      </c>
      <c r="G51" s="1"/>
      <c r="H51" s="1"/>
      <c r="I51" s="1"/>
    </row>
    <row r="52" spans="1:9" ht="58" x14ac:dyDescent="0.35">
      <c r="A52" t="s">
        <v>36</v>
      </c>
      <c r="B52" t="str">
        <f t="shared" si="0"/>
        <v>DAMAGE_SPONGE</v>
      </c>
      <c r="C52" s="1" t="s">
        <v>48</v>
      </c>
      <c r="D52" t="s">
        <v>56</v>
      </c>
      <c r="E52" t="s">
        <v>150</v>
      </c>
      <c r="F52" s="2" t="str">
        <f t="shared" si="3"/>
        <v>false</v>
      </c>
      <c r="G52" s="1"/>
      <c r="H52" s="1"/>
      <c r="I52" s="1"/>
    </row>
    <row r="53" spans="1:9" ht="101.5" x14ac:dyDescent="0.35">
      <c r="A53" t="s">
        <v>37</v>
      </c>
      <c r="B53" t="str">
        <f t="shared" si="0"/>
        <v>REEL</v>
      </c>
      <c r="C53" s="1" t="s">
        <v>49</v>
      </c>
      <c r="D53" t="s">
        <v>56</v>
      </c>
      <c r="E53" t="s">
        <v>150</v>
      </c>
      <c r="F53" s="2" t="str">
        <f t="shared" si="3"/>
        <v>true</v>
      </c>
      <c r="G53" s="1"/>
      <c r="H53" s="1"/>
      <c r="I53" s="1"/>
    </row>
    <row r="54" spans="1:9" ht="87" x14ac:dyDescent="0.35">
      <c r="A54" t="s">
        <v>38</v>
      </c>
      <c r="B54" t="str">
        <f t="shared" si="0"/>
        <v>DEFENDER</v>
      </c>
      <c r="C54" s="1" t="s">
        <v>336</v>
      </c>
      <c r="D54" t="s">
        <v>56</v>
      </c>
      <c r="E54" t="s">
        <v>150</v>
      </c>
      <c r="F54" s="2" t="str">
        <f t="shared" si="3"/>
        <v>false</v>
      </c>
      <c r="G54" s="1"/>
      <c r="H54" s="1"/>
      <c r="I54" s="1"/>
    </row>
    <row r="55" spans="1:9" ht="43.5" x14ac:dyDescent="0.35">
      <c r="A55" t="s">
        <v>39</v>
      </c>
      <c r="B55" t="str">
        <f t="shared" si="0"/>
        <v>UNMOVING</v>
      </c>
      <c r="C55" s="1" t="s">
        <v>337</v>
      </c>
      <c r="D55" t="s">
        <v>56</v>
      </c>
      <c r="E55" t="s">
        <v>150</v>
      </c>
      <c r="F55" s="2" t="str">
        <f t="shared" si="3"/>
        <v>false</v>
      </c>
      <c r="G55" s="1"/>
      <c r="H55" s="1"/>
      <c r="I55" s="1"/>
    </row>
    <row r="56" spans="1:9" ht="159.5" x14ac:dyDescent="0.35">
      <c r="A56" t="s">
        <v>40</v>
      </c>
      <c r="B56" t="str">
        <f t="shared" si="0"/>
        <v>COUNTERATTACK</v>
      </c>
      <c r="C56" s="1" t="s">
        <v>338</v>
      </c>
      <c r="D56" t="s">
        <v>56</v>
      </c>
      <c r="E56" t="s">
        <v>150</v>
      </c>
      <c r="F56" s="2" t="str">
        <f t="shared" si="3"/>
        <v>false</v>
      </c>
      <c r="G56" s="1"/>
      <c r="H56" s="1"/>
      <c r="I56" s="1"/>
    </row>
    <row r="57" spans="1:9" ht="29" x14ac:dyDescent="0.35">
      <c r="A57" t="s">
        <v>41</v>
      </c>
      <c r="B57" t="str">
        <f t="shared" si="0"/>
        <v>RESERVES_OF_STRENGTH</v>
      </c>
      <c r="C57" s="1" t="s">
        <v>50</v>
      </c>
      <c r="D57" t="s">
        <v>56</v>
      </c>
      <c r="E57" t="s">
        <v>150</v>
      </c>
      <c r="F57" s="2" t="str">
        <f t="shared" si="3"/>
        <v>false</v>
      </c>
      <c r="G57" s="1"/>
      <c r="H57" s="1"/>
      <c r="I57" s="1"/>
    </row>
    <row r="58" spans="1:9" ht="58" x14ac:dyDescent="0.35">
      <c r="A58" t="s">
        <v>42</v>
      </c>
      <c r="B58" t="str">
        <f t="shared" si="0"/>
        <v>FLOURISH</v>
      </c>
      <c r="C58" s="1" t="s">
        <v>51</v>
      </c>
      <c r="D58" t="s">
        <v>56</v>
      </c>
      <c r="E58" t="s">
        <v>150</v>
      </c>
      <c r="F58" s="2" t="str">
        <f t="shared" si="3"/>
        <v>false</v>
      </c>
      <c r="H58" s="1"/>
    </row>
    <row r="59" spans="1:9" ht="87" x14ac:dyDescent="0.35">
      <c r="A59" t="s">
        <v>43</v>
      </c>
      <c r="B59" t="str">
        <f t="shared" si="0"/>
        <v>CHALLENGER</v>
      </c>
      <c r="C59" s="1" t="s">
        <v>339</v>
      </c>
      <c r="D59" t="s">
        <v>56</v>
      </c>
      <c r="E59" t="s">
        <v>150</v>
      </c>
      <c r="F59" s="2" t="str">
        <f t="shared" si="3"/>
        <v>false</v>
      </c>
      <c r="H59" s="1"/>
    </row>
    <row r="60" spans="1:9" ht="87" x14ac:dyDescent="0.35">
      <c r="A60" t="s">
        <v>44</v>
      </c>
      <c r="B60" t="str">
        <f t="shared" si="0"/>
        <v>LIVING_WALL</v>
      </c>
      <c r="C60" s="1" t="s">
        <v>52</v>
      </c>
      <c r="D60" t="s">
        <v>56</v>
      </c>
      <c r="E60" t="s">
        <v>150</v>
      </c>
      <c r="F60" s="2" t="str">
        <f t="shared" si="3"/>
        <v>false</v>
      </c>
      <c r="H60" s="1"/>
    </row>
    <row r="61" spans="1:9" ht="58" x14ac:dyDescent="0.35">
      <c r="A61" t="s">
        <v>45</v>
      </c>
      <c r="B61" t="str">
        <f t="shared" si="0"/>
        <v>BLOODIED_BERSERKER</v>
      </c>
      <c r="C61" s="1" t="s">
        <v>53</v>
      </c>
      <c r="D61" t="s">
        <v>56</v>
      </c>
      <c r="E61" t="s">
        <v>150</v>
      </c>
      <c r="F61" s="2" t="str">
        <f t="shared" si="3"/>
        <v>false</v>
      </c>
      <c r="H61" s="1"/>
    </row>
    <row r="62" spans="1:9" ht="72.5" x14ac:dyDescent="0.35">
      <c r="A62" t="s">
        <v>46</v>
      </c>
      <c r="B62" t="str">
        <f t="shared" si="0"/>
        <v>FLURRY</v>
      </c>
      <c r="C62" s="1" t="s">
        <v>54</v>
      </c>
      <c r="D62" t="s">
        <v>56</v>
      </c>
      <c r="E62" t="s">
        <v>150</v>
      </c>
      <c r="F62" s="2" t="str">
        <f t="shared" si="3"/>
        <v>false</v>
      </c>
      <c r="H62" s="1"/>
    </row>
    <row r="63" spans="1:9" ht="58" x14ac:dyDescent="0.35">
      <c r="A63" t="s">
        <v>57</v>
      </c>
      <c r="B63" t="str">
        <f t="shared" si="0"/>
        <v>OVERWHELMING_FORCE</v>
      </c>
      <c r="C63" s="1" t="s">
        <v>55</v>
      </c>
      <c r="D63" t="s">
        <v>56</v>
      </c>
      <c r="E63" t="s">
        <v>150</v>
      </c>
      <c r="F63" s="2" t="str">
        <f t="shared" si="3"/>
        <v>false</v>
      </c>
      <c r="H63" s="1"/>
    </row>
    <row r="64" spans="1:9" ht="145" x14ac:dyDescent="0.35">
      <c r="A64" t="s">
        <v>244</v>
      </c>
      <c r="B64" t="str">
        <f t="shared" si="0"/>
        <v>LIGHTHOUSE</v>
      </c>
      <c r="C64" s="1" t="s">
        <v>340</v>
      </c>
      <c r="D64" t="s">
        <v>56</v>
      </c>
      <c r="E64" t="s">
        <v>147</v>
      </c>
      <c r="F64" s="2" t="str">
        <f t="shared" si="3"/>
        <v>false</v>
      </c>
      <c r="H64" s="1"/>
      <c r="I64" s="1" t="str">
        <f>IF(ISERROR(SEARCH("This ability uses shinsu", F64)), "err", "noerr")</f>
        <v>err</v>
      </c>
    </row>
    <row r="65" spans="1:9" x14ac:dyDescent="0.35">
      <c r="A65" t="s">
        <v>58</v>
      </c>
      <c r="B65" t="str">
        <f t="shared" si="0"/>
        <v>BRAINS</v>
      </c>
      <c r="C65" s="1" t="s">
        <v>72</v>
      </c>
      <c r="D65" t="s">
        <v>56</v>
      </c>
      <c r="E65" t="s">
        <v>147</v>
      </c>
      <c r="F65" s="2" t="str">
        <f t="shared" si="3"/>
        <v>false</v>
      </c>
      <c r="H65" s="1"/>
    </row>
    <row r="66" spans="1:9" x14ac:dyDescent="0.35">
      <c r="A66" t="s">
        <v>59</v>
      </c>
      <c r="B66" t="str">
        <f t="shared" si="0"/>
        <v>SMOOTH_TALKER</v>
      </c>
      <c r="C66" s="1" t="s">
        <v>73</v>
      </c>
      <c r="D66" t="s">
        <v>56</v>
      </c>
      <c r="E66" t="s">
        <v>147</v>
      </c>
      <c r="F66" s="2" t="str">
        <f t="shared" si="3"/>
        <v>false</v>
      </c>
      <c r="H66" s="1"/>
    </row>
    <row r="67" spans="1:9" ht="43.5" x14ac:dyDescent="0.35">
      <c r="A67" t="s">
        <v>60</v>
      </c>
      <c r="B67" t="str">
        <f t="shared" si="0"/>
        <v>CALCULATOR</v>
      </c>
      <c r="C67" s="1" t="s">
        <v>74</v>
      </c>
      <c r="D67" t="s">
        <v>56</v>
      </c>
      <c r="E67" t="s">
        <v>147</v>
      </c>
      <c r="F67" s="2" t="str">
        <f t="shared" si="3"/>
        <v>false</v>
      </c>
      <c r="H67" s="1"/>
    </row>
    <row r="68" spans="1:9" ht="130.5" x14ac:dyDescent="0.35">
      <c r="A68" t="s">
        <v>61</v>
      </c>
      <c r="B68" t="str">
        <f t="shared" si="0"/>
        <v>LIGHTHOUSE_FLOW_CONTROL</v>
      </c>
      <c r="C68" s="1" t="s">
        <v>341</v>
      </c>
      <c r="D68" t="s">
        <v>56</v>
      </c>
      <c r="E68" t="s">
        <v>147</v>
      </c>
      <c r="F68" s="2" t="str">
        <f t="shared" si="3"/>
        <v>true</v>
      </c>
      <c r="H68" s="1"/>
      <c r="I68" s="1" t="str">
        <f>IF(ISERROR(SEARCH("shinsu", C68)), "false", "true")</f>
        <v>true</v>
      </c>
    </row>
    <row r="69" spans="1:9" ht="130.5" x14ac:dyDescent="0.35">
      <c r="A69" t="s">
        <v>62</v>
      </c>
      <c r="B69" t="str">
        <f t="shared" si="0"/>
        <v>EMERALD_SWORD</v>
      </c>
      <c r="C69" s="1" t="s">
        <v>75</v>
      </c>
      <c r="D69" t="s">
        <v>56</v>
      </c>
      <c r="E69" t="s">
        <v>147</v>
      </c>
      <c r="F69" s="2" t="str">
        <f t="shared" si="3"/>
        <v>true</v>
      </c>
      <c r="H69" s="1"/>
    </row>
    <row r="70" spans="1:9" ht="101.5" x14ac:dyDescent="0.35">
      <c r="A70" t="s">
        <v>63</v>
      </c>
      <c r="B70" t="str">
        <f t="shared" si="0"/>
        <v>LIGHTHOUSE_TELEPORTATION</v>
      </c>
      <c r="C70" s="1" t="s">
        <v>76</v>
      </c>
      <c r="D70" t="s">
        <v>56</v>
      </c>
      <c r="E70" t="s">
        <v>147</v>
      </c>
      <c r="F70" s="2" t="str">
        <f t="shared" si="3"/>
        <v>true</v>
      </c>
      <c r="H70" s="1"/>
    </row>
    <row r="71" spans="1:9" ht="116" x14ac:dyDescent="0.35">
      <c r="A71" t="s">
        <v>64</v>
      </c>
      <c r="B71" t="str">
        <f t="shared" si="0"/>
        <v>INSTANT_TELEPORT</v>
      </c>
      <c r="C71" s="1" t="s">
        <v>342</v>
      </c>
      <c r="D71" t="s">
        <v>56</v>
      </c>
      <c r="E71" t="s">
        <v>147</v>
      </c>
      <c r="F71" s="2" t="str">
        <f t="shared" si="3"/>
        <v>false</v>
      </c>
      <c r="H71" s="1"/>
    </row>
    <row r="72" spans="1:9" ht="130.5" x14ac:dyDescent="0.35">
      <c r="A72" t="s">
        <v>65</v>
      </c>
      <c r="B72" t="str">
        <f t="shared" si="0"/>
        <v>STEER</v>
      </c>
      <c r="C72" s="1" t="s">
        <v>343</v>
      </c>
      <c r="D72" t="s">
        <v>56</v>
      </c>
      <c r="E72" t="s">
        <v>147</v>
      </c>
      <c r="F72" s="2" t="str">
        <f t="shared" si="3"/>
        <v>true</v>
      </c>
      <c r="H72" s="1"/>
    </row>
    <row r="73" spans="1:9" ht="116" x14ac:dyDescent="0.35">
      <c r="A73" t="s">
        <v>66</v>
      </c>
      <c r="B73" t="str">
        <f t="shared" si="0"/>
        <v>HACK</v>
      </c>
      <c r="C73" s="1" t="s">
        <v>344</v>
      </c>
      <c r="D73" t="s">
        <v>56</v>
      </c>
      <c r="E73" t="s">
        <v>147</v>
      </c>
      <c r="F73" s="2" t="str">
        <f t="shared" si="3"/>
        <v>false</v>
      </c>
      <c r="H73" s="1"/>
    </row>
    <row r="74" spans="1:9" ht="58" x14ac:dyDescent="0.35">
      <c r="A74" t="s">
        <v>67</v>
      </c>
      <c r="B74" t="str">
        <f t="shared" si="0"/>
        <v>UNPARALLELED_INSIGHT</v>
      </c>
      <c r="C74" s="1" t="s">
        <v>345</v>
      </c>
      <c r="D74" t="s">
        <v>56</v>
      </c>
      <c r="E74" t="s">
        <v>147</v>
      </c>
      <c r="F74" s="2" t="str">
        <f t="shared" si="3"/>
        <v>false</v>
      </c>
      <c r="H74" s="1"/>
    </row>
    <row r="75" spans="1:9" ht="188.5" x14ac:dyDescent="0.35">
      <c r="A75" t="s">
        <v>68</v>
      </c>
      <c r="B75" t="str">
        <f t="shared" si="0"/>
        <v>LIGHT_WALL</v>
      </c>
      <c r="C75" s="1" t="s">
        <v>346</v>
      </c>
      <c r="D75" t="s">
        <v>56</v>
      </c>
      <c r="E75" t="s">
        <v>147</v>
      </c>
      <c r="F75" s="2" t="str">
        <f t="shared" si="3"/>
        <v>true</v>
      </c>
      <c r="H75" s="1"/>
    </row>
    <row r="76" spans="1:9" ht="145" x14ac:dyDescent="0.35">
      <c r="A76" t="s">
        <v>69</v>
      </c>
      <c r="B76" t="str">
        <f t="shared" si="0"/>
        <v>MYSTERY_SPHERE</v>
      </c>
      <c r="C76" s="1" t="s">
        <v>347</v>
      </c>
      <c r="D76" t="s">
        <v>56</v>
      </c>
      <c r="E76" t="s">
        <v>147</v>
      </c>
      <c r="F76" s="2" t="str">
        <f t="shared" si="3"/>
        <v>true</v>
      </c>
      <c r="H76" s="1"/>
    </row>
    <row r="77" spans="1:9" ht="87" x14ac:dyDescent="0.35">
      <c r="A77" t="s">
        <v>70</v>
      </c>
      <c r="B77" t="str">
        <f t="shared" si="0"/>
        <v>MASTERFUL_PLAN</v>
      </c>
      <c r="C77" s="1" t="s">
        <v>77</v>
      </c>
      <c r="D77" t="s">
        <v>56</v>
      </c>
      <c r="E77" t="s">
        <v>147</v>
      </c>
      <c r="F77" s="2" t="str">
        <f t="shared" si="3"/>
        <v>false</v>
      </c>
      <c r="H77" s="1"/>
    </row>
    <row r="78" spans="1:9" ht="58" x14ac:dyDescent="0.35">
      <c r="A78" t="s">
        <v>71</v>
      </c>
      <c r="B78" t="str">
        <f t="shared" si="0"/>
        <v>OVERWHELMING_MIND</v>
      </c>
      <c r="C78" s="1" t="s">
        <v>78</v>
      </c>
      <c r="D78" t="s">
        <v>56</v>
      </c>
      <c r="E78" t="s">
        <v>147</v>
      </c>
      <c r="F78" s="2" t="str">
        <f t="shared" si="3"/>
        <v>false</v>
      </c>
      <c r="H78" s="1"/>
    </row>
    <row r="79" spans="1:9" ht="145" x14ac:dyDescent="0.35">
      <c r="A79" t="s">
        <v>245</v>
      </c>
      <c r="B79" t="str">
        <f t="shared" si="0"/>
        <v>OBSERVER</v>
      </c>
      <c r="C79" s="1" t="s">
        <v>348</v>
      </c>
      <c r="D79" t="s">
        <v>56</v>
      </c>
      <c r="E79" t="s">
        <v>148</v>
      </c>
      <c r="F79" s="2" t="str">
        <f t="shared" si="3"/>
        <v>false</v>
      </c>
      <c r="H79" s="1"/>
    </row>
    <row r="80" spans="1:9" ht="217.5" x14ac:dyDescent="0.35">
      <c r="A80" t="s">
        <v>80</v>
      </c>
      <c r="B80" t="str">
        <f t="shared" si="0"/>
        <v>ADVANCED_OBSERVER</v>
      </c>
      <c r="C80" s="1" t="s">
        <v>349</v>
      </c>
      <c r="D80" t="s">
        <v>56</v>
      </c>
      <c r="E80" t="s">
        <v>148</v>
      </c>
      <c r="F80" s="2" t="str">
        <f t="shared" si="3"/>
        <v>false</v>
      </c>
      <c r="H80" s="1"/>
    </row>
    <row r="81" spans="1:8" ht="130.5" x14ac:dyDescent="0.35">
      <c r="A81" t="s">
        <v>81</v>
      </c>
      <c r="B81" t="str">
        <f t="shared" si="0"/>
        <v>BLACK_FISH_[EXTENDED]</v>
      </c>
      <c r="C81" s="1" t="s">
        <v>350</v>
      </c>
      <c r="D81" t="s">
        <v>56</v>
      </c>
      <c r="E81" t="s">
        <v>148</v>
      </c>
      <c r="F81" s="2" t="s">
        <v>318</v>
      </c>
      <c r="H81" s="1"/>
    </row>
    <row r="82" spans="1:8" x14ac:dyDescent="0.35">
      <c r="A82" t="s">
        <v>82</v>
      </c>
      <c r="B82" t="str">
        <f t="shared" si="0"/>
        <v>SNEAKY</v>
      </c>
      <c r="C82" s="1" t="s">
        <v>122</v>
      </c>
      <c r="D82" t="s">
        <v>56</v>
      </c>
      <c r="E82" t="s">
        <v>148</v>
      </c>
      <c r="F82" s="2" t="str">
        <f t="shared" si="3"/>
        <v>false</v>
      </c>
      <c r="H82" s="1"/>
    </row>
    <row r="83" spans="1:8" x14ac:dyDescent="0.35">
      <c r="A83" t="s">
        <v>83</v>
      </c>
      <c r="B83" t="str">
        <f t="shared" si="0"/>
        <v>SPEEDY</v>
      </c>
      <c r="C83" s="1" t="s">
        <v>123</v>
      </c>
      <c r="D83" t="s">
        <v>56</v>
      </c>
      <c r="E83" t="s">
        <v>148</v>
      </c>
      <c r="F83" s="2" t="str">
        <f t="shared" si="3"/>
        <v>false</v>
      </c>
      <c r="H83" s="1"/>
    </row>
    <row r="84" spans="1:8" ht="29" x14ac:dyDescent="0.35">
      <c r="A84" t="s">
        <v>84</v>
      </c>
      <c r="B84" t="str">
        <f t="shared" si="0"/>
        <v>SUPPORT_FIGHTER</v>
      </c>
      <c r="C84" s="1" t="s">
        <v>124</v>
      </c>
      <c r="D84" t="s">
        <v>56</v>
      </c>
      <c r="E84" t="s">
        <v>148</v>
      </c>
      <c r="F84" s="2" t="str">
        <f t="shared" si="3"/>
        <v>false</v>
      </c>
      <c r="H84" s="1"/>
    </row>
    <row r="85" spans="1:8" ht="87" x14ac:dyDescent="0.35">
      <c r="A85" t="s">
        <v>85</v>
      </c>
      <c r="B85" t="str">
        <f t="shared" si="0"/>
        <v>OPENING</v>
      </c>
      <c r="C85" s="1" t="s">
        <v>351</v>
      </c>
      <c r="D85" t="s">
        <v>56</v>
      </c>
      <c r="E85" t="s">
        <v>148</v>
      </c>
      <c r="F85" s="2" t="str">
        <f t="shared" si="3"/>
        <v>false</v>
      </c>
      <c r="H85" s="1"/>
    </row>
    <row r="86" spans="1:8" ht="29" x14ac:dyDescent="0.35">
      <c r="A86" t="s">
        <v>86</v>
      </c>
      <c r="B86" t="str">
        <f t="shared" si="0"/>
        <v>FEATHER_FOOT</v>
      </c>
      <c r="C86" s="1" t="s">
        <v>125</v>
      </c>
      <c r="D86" t="s">
        <v>56</v>
      </c>
      <c r="E86" t="s">
        <v>148</v>
      </c>
      <c r="F86" s="2" t="str">
        <f t="shared" si="3"/>
        <v>false</v>
      </c>
      <c r="H86" s="1"/>
    </row>
    <row r="87" spans="1:8" ht="43.5" x14ac:dyDescent="0.35">
      <c r="A87" t="s">
        <v>87</v>
      </c>
      <c r="B87" t="str">
        <f t="shared" si="0"/>
        <v>SPIDER_FOOT</v>
      </c>
      <c r="C87" s="1" t="s">
        <v>126</v>
      </c>
      <c r="D87" t="s">
        <v>56</v>
      </c>
      <c r="E87" t="s">
        <v>148</v>
      </c>
      <c r="F87" s="2" t="str">
        <f t="shared" si="3"/>
        <v>false</v>
      </c>
      <c r="H87" s="1"/>
    </row>
    <row r="88" spans="1:8" ht="145" x14ac:dyDescent="0.35">
      <c r="A88" t="s">
        <v>88</v>
      </c>
      <c r="B88" t="str">
        <f t="shared" si="0"/>
        <v>ON_GUARD</v>
      </c>
      <c r="C88" s="1" t="s">
        <v>352</v>
      </c>
      <c r="D88" t="s">
        <v>56</v>
      </c>
      <c r="E88" t="s">
        <v>148</v>
      </c>
      <c r="F88" s="2" t="str">
        <f t="shared" si="3"/>
        <v>false</v>
      </c>
      <c r="H88" s="1"/>
    </row>
    <row r="89" spans="1:8" ht="43.5" x14ac:dyDescent="0.35">
      <c r="A89" t="s">
        <v>89</v>
      </c>
      <c r="B89" t="str">
        <f t="shared" si="0"/>
        <v>FLOW_LIKE_WATER</v>
      </c>
      <c r="C89" s="1" t="s">
        <v>127</v>
      </c>
      <c r="D89" t="s">
        <v>56</v>
      </c>
      <c r="E89" t="s">
        <v>148</v>
      </c>
      <c r="F89" s="2" t="str">
        <f t="shared" si="3"/>
        <v>false</v>
      </c>
      <c r="H89" s="1"/>
    </row>
    <row r="90" spans="1:8" ht="43.5" x14ac:dyDescent="0.35">
      <c r="A90" t="s">
        <v>90</v>
      </c>
      <c r="B90" t="str">
        <f t="shared" si="0"/>
        <v>SNEAK_ATTACK</v>
      </c>
      <c r="C90" s="1" t="s">
        <v>353</v>
      </c>
      <c r="D90" t="s">
        <v>56</v>
      </c>
      <c r="E90" t="s">
        <v>148</v>
      </c>
      <c r="F90" s="2" t="str">
        <f t="shared" si="3"/>
        <v>false</v>
      </c>
      <c r="H90" s="1"/>
    </row>
    <row r="91" spans="1:8" ht="72.5" x14ac:dyDescent="0.35">
      <c r="A91" t="s">
        <v>91</v>
      </c>
      <c r="B91" t="str">
        <f t="shared" si="0"/>
        <v>FALL_SILENTLY</v>
      </c>
      <c r="C91" s="1" t="s">
        <v>354</v>
      </c>
      <c r="D91" t="s">
        <v>56</v>
      </c>
      <c r="E91" t="s">
        <v>148</v>
      </c>
      <c r="F91" s="2" t="str">
        <f t="shared" si="3"/>
        <v>true</v>
      </c>
      <c r="H91" s="1"/>
    </row>
    <row r="92" spans="1:8" ht="116" x14ac:dyDescent="0.35">
      <c r="A92" t="s">
        <v>92</v>
      </c>
      <c r="B92" t="str">
        <f t="shared" si="0"/>
        <v>TRACK</v>
      </c>
      <c r="C92" s="1" t="s">
        <v>128</v>
      </c>
      <c r="D92" t="s">
        <v>56</v>
      </c>
      <c r="E92" t="s">
        <v>148</v>
      </c>
      <c r="F92" s="2" t="str">
        <f t="shared" si="3"/>
        <v>false</v>
      </c>
      <c r="H92" s="1"/>
    </row>
    <row r="93" spans="1:8" ht="58" x14ac:dyDescent="0.35">
      <c r="A93" t="s">
        <v>93</v>
      </c>
      <c r="B93" t="str">
        <f t="shared" si="0"/>
        <v>OVERWHELMING_SPEED</v>
      </c>
      <c r="C93" s="1" t="s">
        <v>129</v>
      </c>
      <c r="D93" t="s">
        <v>56</v>
      </c>
      <c r="E93" t="s">
        <v>148</v>
      </c>
      <c r="F93" s="2" t="str">
        <f t="shared" si="3"/>
        <v>false</v>
      </c>
      <c r="H93" s="1"/>
    </row>
    <row r="94" spans="1:8" ht="29" x14ac:dyDescent="0.35">
      <c r="A94" t="s">
        <v>246</v>
      </c>
      <c r="B94" t="str">
        <f t="shared" si="0"/>
        <v>THROWER</v>
      </c>
      <c r="C94" s="1" t="s">
        <v>254</v>
      </c>
      <c r="D94" t="s">
        <v>56</v>
      </c>
      <c r="E94" t="s">
        <v>149</v>
      </c>
      <c r="F94" s="2" t="str">
        <f t="shared" si="3"/>
        <v>false</v>
      </c>
      <c r="H94" s="1"/>
    </row>
    <row r="95" spans="1:8" ht="58" x14ac:dyDescent="0.35">
      <c r="A95" t="s">
        <v>94</v>
      </c>
      <c r="B95" t="str">
        <f t="shared" si="0"/>
        <v>STABBER</v>
      </c>
      <c r="C95" s="1" t="s">
        <v>130</v>
      </c>
      <c r="D95" t="s">
        <v>56</v>
      </c>
      <c r="E95" t="s">
        <v>149</v>
      </c>
      <c r="F95" s="2" t="str">
        <f t="shared" si="3"/>
        <v>false</v>
      </c>
      <c r="H95" s="1"/>
    </row>
    <row r="96" spans="1:8" x14ac:dyDescent="0.35">
      <c r="A96" t="s">
        <v>95</v>
      </c>
      <c r="B96" t="str">
        <f t="shared" si="0"/>
        <v>STRONG_ARMS</v>
      </c>
      <c r="C96" s="1" t="s">
        <v>131</v>
      </c>
      <c r="D96" t="s">
        <v>56</v>
      </c>
      <c r="E96" t="s">
        <v>149</v>
      </c>
      <c r="F96" s="2" t="str">
        <f t="shared" si="3"/>
        <v>false</v>
      </c>
      <c r="H96" s="1"/>
    </row>
    <row r="97" spans="1:8" ht="43.5" x14ac:dyDescent="0.35">
      <c r="A97" t="s">
        <v>96</v>
      </c>
      <c r="B97" t="str">
        <f t="shared" si="0"/>
        <v>RAPID_SHOT</v>
      </c>
      <c r="C97" s="1" t="s">
        <v>132</v>
      </c>
      <c r="D97" t="s">
        <v>56</v>
      </c>
      <c r="E97" t="s">
        <v>149</v>
      </c>
      <c r="F97" s="2" t="str">
        <f t="shared" si="3"/>
        <v>false</v>
      </c>
      <c r="H97" s="1"/>
    </row>
    <row r="98" spans="1:8" ht="43.5" x14ac:dyDescent="0.35">
      <c r="A98" t="s">
        <v>97</v>
      </c>
      <c r="B98" t="str">
        <f t="shared" si="0"/>
        <v>CRITICAL_SHOT</v>
      </c>
      <c r="C98" s="1" t="s">
        <v>133</v>
      </c>
      <c r="D98" t="s">
        <v>56</v>
      </c>
      <c r="E98" t="s">
        <v>149</v>
      </c>
      <c r="F98" s="2" t="str">
        <f t="shared" si="3"/>
        <v>false</v>
      </c>
      <c r="H98" s="1"/>
    </row>
    <row r="99" spans="1:8" ht="87" x14ac:dyDescent="0.35">
      <c r="A99" t="s">
        <v>98</v>
      </c>
      <c r="B99" t="str">
        <f t="shared" si="0"/>
        <v>AIM</v>
      </c>
      <c r="C99" s="1" t="s">
        <v>134</v>
      </c>
      <c r="D99" t="s">
        <v>56</v>
      </c>
      <c r="E99" t="s">
        <v>149</v>
      </c>
      <c r="F99" s="2" t="str">
        <f t="shared" si="3"/>
        <v>false</v>
      </c>
      <c r="H99" s="1"/>
    </row>
    <row r="100" spans="1:8" ht="159.5" x14ac:dyDescent="0.35">
      <c r="A100" t="s">
        <v>99</v>
      </c>
      <c r="B100" t="str">
        <f t="shared" si="0"/>
        <v>GET_OVER_HERE</v>
      </c>
      <c r="C100" s="1" t="s">
        <v>135</v>
      </c>
      <c r="D100" t="s">
        <v>56</v>
      </c>
      <c r="E100" t="s">
        <v>149</v>
      </c>
      <c r="F100" s="2" t="str">
        <f t="shared" si="3"/>
        <v>false</v>
      </c>
      <c r="H100" s="1"/>
    </row>
    <row r="101" spans="1:8" ht="87" x14ac:dyDescent="0.35">
      <c r="A101" t="s">
        <v>100</v>
      </c>
      <c r="B101" t="str">
        <f t="shared" si="0"/>
        <v>GET_OVER_THERE</v>
      </c>
      <c r="C101" s="1" t="s">
        <v>355</v>
      </c>
      <c r="D101" t="s">
        <v>56</v>
      </c>
      <c r="E101" t="s">
        <v>149</v>
      </c>
      <c r="F101" s="2" t="str">
        <f t="shared" si="3"/>
        <v>false</v>
      </c>
      <c r="H101" s="1"/>
    </row>
    <row r="102" spans="1:8" ht="43.5" x14ac:dyDescent="0.35">
      <c r="A102" t="s">
        <v>101</v>
      </c>
      <c r="B102" t="str">
        <f t="shared" si="0"/>
        <v>SIGHT_WITHOUT_EYES</v>
      </c>
      <c r="C102" s="1" t="s">
        <v>136</v>
      </c>
      <c r="D102" t="s">
        <v>56</v>
      </c>
      <c r="E102" t="s">
        <v>149</v>
      </c>
      <c r="F102" s="2" t="str">
        <f t="shared" si="3"/>
        <v>false</v>
      </c>
      <c r="H102" s="1"/>
    </row>
    <row r="103" spans="1:8" ht="116" x14ac:dyDescent="0.35">
      <c r="A103" t="s">
        <v>102</v>
      </c>
      <c r="B103" t="str">
        <f t="shared" ref="B103:B162" si="4">UPPER(SUBSTITUTE(A103, " ", "_"))</f>
        <v>DISABLING_SHOT</v>
      </c>
      <c r="C103" s="1" t="s">
        <v>356</v>
      </c>
      <c r="D103" t="s">
        <v>56</v>
      </c>
      <c r="E103" t="s">
        <v>149</v>
      </c>
      <c r="F103" s="2" t="str">
        <f t="shared" si="3"/>
        <v>false</v>
      </c>
      <c r="H103" s="1"/>
    </row>
    <row r="104" spans="1:8" ht="159.5" x14ac:dyDescent="0.35">
      <c r="A104" t="s">
        <v>103</v>
      </c>
      <c r="B104" t="str">
        <f t="shared" si="4"/>
        <v>DELAYED_SHOT</v>
      </c>
      <c r="C104" s="1" t="s">
        <v>137</v>
      </c>
      <c r="D104" t="s">
        <v>56</v>
      </c>
      <c r="E104" t="s">
        <v>149</v>
      </c>
      <c r="F104" s="2" t="str">
        <f t="shared" si="3"/>
        <v>false</v>
      </c>
      <c r="H104" s="1"/>
    </row>
    <row r="105" spans="1:8" ht="43.5" x14ac:dyDescent="0.35">
      <c r="A105" t="s">
        <v>104</v>
      </c>
      <c r="B105" t="str">
        <f t="shared" si="4"/>
        <v>BENDING_SPEAR_TECHNIQUE</v>
      </c>
      <c r="C105" s="1" t="s">
        <v>357</v>
      </c>
      <c r="D105" t="s">
        <v>56</v>
      </c>
      <c r="E105" t="s">
        <v>149</v>
      </c>
      <c r="F105" s="2" t="str">
        <f t="shared" si="3"/>
        <v>false</v>
      </c>
      <c r="H105" s="1"/>
    </row>
    <row r="106" spans="1:8" ht="43.5" x14ac:dyDescent="0.35">
      <c r="A106" t="s">
        <v>105</v>
      </c>
      <c r="B106" t="str">
        <f t="shared" si="4"/>
        <v>FOCUSED_SHOT</v>
      </c>
      <c r="C106" s="1" t="s">
        <v>138</v>
      </c>
      <c r="D106" t="s">
        <v>56</v>
      </c>
      <c r="E106" t="s">
        <v>149</v>
      </c>
      <c r="F106" s="2" t="str">
        <f t="shared" si="3"/>
        <v>false</v>
      </c>
      <c r="H106" s="1"/>
    </row>
    <row r="107" spans="1:8" ht="43.5" x14ac:dyDescent="0.35">
      <c r="A107" t="s">
        <v>106</v>
      </c>
      <c r="B107" t="str">
        <f t="shared" si="4"/>
        <v>SNIPER</v>
      </c>
      <c r="C107" s="1" t="s">
        <v>139</v>
      </c>
      <c r="D107" t="s">
        <v>56</v>
      </c>
      <c r="E107" t="s">
        <v>149</v>
      </c>
      <c r="F107" s="2" t="str">
        <f t="shared" si="3"/>
        <v>false</v>
      </c>
      <c r="H107" s="1"/>
    </row>
    <row r="108" spans="1:8" ht="58" x14ac:dyDescent="0.35">
      <c r="A108" t="s">
        <v>107</v>
      </c>
      <c r="B108" t="str">
        <f t="shared" si="4"/>
        <v>OVERWHELMING_ACCURACY</v>
      </c>
      <c r="C108" s="1" t="s">
        <v>140</v>
      </c>
      <c r="D108" t="s">
        <v>56</v>
      </c>
      <c r="E108" t="s">
        <v>149</v>
      </c>
      <c r="F108" s="2" t="str">
        <f t="shared" si="3"/>
        <v>false</v>
      </c>
      <c r="H108" s="1"/>
    </row>
    <row r="109" spans="1:8" ht="188.5" x14ac:dyDescent="0.35">
      <c r="A109" t="s">
        <v>3</v>
      </c>
      <c r="B109" t="str">
        <f>UPPER(SUBSTITUTE(A109, " ", "_"))</f>
        <v>BEADS</v>
      </c>
      <c r="C109" s="1" t="s">
        <v>389</v>
      </c>
      <c r="D109" t="s">
        <v>56</v>
      </c>
      <c r="E109" t="s">
        <v>79</v>
      </c>
      <c r="F109" s="2" t="s">
        <v>318</v>
      </c>
      <c r="H109" s="1"/>
    </row>
    <row r="110" spans="1:8" x14ac:dyDescent="0.35">
      <c r="A110" t="s">
        <v>108</v>
      </c>
      <c r="B110" t="str">
        <f t="shared" si="4"/>
        <v>PRECISION</v>
      </c>
      <c r="C110" s="1" t="s">
        <v>141</v>
      </c>
      <c r="D110" t="s">
        <v>56</v>
      </c>
      <c r="E110" t="s">
        <v>79</v>
      </c>
      <c r="F110" s="2" t="str">
        <f t="shared" ref="F110:F173" si="5">IF(ISERROR( SEARCH("shinsu",C110)), "false", "true")</f>
        <v>false</v>
      </c>
      <c r="H110" s="1"/>
    </row>
    <row r="111" spans="1:8" ht="304.5" x14ac:dyDescent="0.35">
      <c r="A111" t="s">
        <v>109</v>
      </c>
      <c r="B111" t="str">
        <f t="shared" si="4"/>
        <v>SHINSU_WALL_[EXTENDED]</v>
      </c>
      <c r="C111" s="1" t="s">
        <v>358</v>
      </c>
      <c r="D111" t="s">
        <v>56</v>
      </c>
      <c r="E111" t="s">
        <v>79</v>
      </c>
      <c r="F111" s="2" t="s">
        <v>318</v>
      </c>
      <c r="H111" s="1"/>
    </row>
    <row r="112" spans="1:8" ht="232" x14ac:dyDescent="0.35">
      <c r="A112" t="s">
        <v>110</v>
      </c>
      <c r="B112" t="str">
        <f t="shared" si="4"/>
        <v>QUICK_SHIELD_[EXTENDED]</v>
      </c>
      <c r="C112" s="1" t="s">
        <v>359</v>
      </c>
      <c r="D112" t="s">
        <v>56</v>
      </c>
      <c r="E112" t="s">
        <v>79</v>
      </c>
      <c r="F112" s="2" t="str">
        <f t="shared" si="5"/>
        <v>true</v>
      </c>
      <c r="H112" s="1"/>
    </row>
    <row r="113" spans="1:8" ht="145" x14ac:dyDescent="0.35">
      <c r="A113" t="s">
        <v>111</v>
      </c>
      <c r="B113" t="str">
        <f t="shared" si="4"/>
        <v>QUICK_WEAPON_[EXTENDED]</v>
      </c>
      <c r="C113" s="1" t="s">
        <v>360</v>
      </c>
      <c r="D113" t="s">
        <v>56</v>
      </c>
      <c r="E113" t="s">
        <v>79</v>
      </c>
      <c r="F113" s="2" t="str">
        <f t="shared" si="5"/>
        <v>true</v>
      </c>
      <c r="H113" s="1"/>
    </row>
    <row r="114" spans="1:8" ht="116" x14ac:dyDescent="0.35">
      <c r="A114" t="s">
        <v>112</v>
      </c>
      <c r="B114" t="str">
        <f t="shared" si="4"/>
        <v>FLARE_WAVE_EXPLOSION</v>
      </c>
      <c r="C114" s="1" t="s">
        <v>142</v>
      </c>
      <c r="D114" t="s">
        <v>56</v>
      </c>
      <c r="E114" t="s">
        <v>79</v>
      </c>
      <c r="F114" s="2" t="s">
        <v>318</v>
      </c>
      <c r="H114" s="1"/>
    </row>
    <row r="115" spans="1:8" ht="174" x14ac:dyDescent="0.35">
      <c r="A115" t="s">
        <v>113</v>
      </c>
      <c r="B115" t="str">
        <f t="shared" si="4"/>
        <v>REVERSE_FLOW_CONTROL_[EXTENDED]</v>
      </c>
      <c r="C115" s="1" t="s">
        <v>361</v>
      </c>
      <c r="D115" t="s">
        <v>56</v>
      </c>
      <c r="E115" t="s">
        <v>79</v>
      </c>
      <c r="F115" s="2" t="s">
        <v>318</v>
      </c>
      <c r="H115" s="1"/>
    </row>
    <row r="116" spans="1:8" ht="159.5" x14ac:dyDescent="0.35">
      <c r="A116" t="s">
        <v>114</v>
      </c>
      <c r="B116" t="str">
        <f t="shared" si="4"/>
        <v>SHOT</v>
      </c>
      <c r="C116" s="1" t="s">
        <v>362</v>
      </c>
      <c r="D116" t="s">
        <v>56</v>
      </c>
      <c r="E116" t="s">
        <v>79</v>
      </c>
      <c r="F116" s="2" t="s">
        <v>318</v>
      </c>
      <c r="H116" s="1"/>
    </row>
    <row r="117" spans="1:8" ht="409.5" x14ac:dyDescent="0.35">
      <c r="A117" t="s">
        <v>115</v>
      </c>
      <c r="B117" t="str">
        <f t="shared" si="4"/>
        <v>MAGNIFY</v>
      </c>
      <c r="C117" s="1" t="s">
        <v>363</v>
      </c>
      <c r="D117" t="s">
        <v>56</v>
      </c>
      <c r="E117" t="s">
        <v>79</v>
      </c>
      <c r="F117" s="2" t="str">
        <f t="shared" si="5"/>
        <v>false</v>
      </c>
      <c r="H117" s="1"/>
    </row>
    <row r="118" spans="1:8" ht="87" x14ac:dyDescent="0.35">
      <c r="A118" t="s">
        <v>116</v>
      </c>
      <c r="B118" t="str">
        <f t="shared" si="4"/>
        <v>DISPEL</v>
      </c>
      <c r="C118" s="1" t="s">
        <v>364</v>
      </c>
      <c r="D118" t="s">
        <v>56</v>
      </c>
      <c r="E118" t="s">
        <v>79</v>
      </c>
      <c r="F118" s="2" t="str">
        <f t="shared" si="5"/>
        <v>true</v>
      </c>
      <c r="H118" s="1"/>
    </row>
    <row r="119" spans="1:8" ht="87" x14ac:dyDescent="0.35">
      <c r="A119" t="s">
        <v>117</v>
      </c>
      <c r="B119" t="str">
        <f t="shared" si="4"/>
        <v>ALL-ENCOMPASSING_SIGHT</v>
      </c>
      <c r="C119" s="1" t="s">
        <v>143</v>
      </c>
      <c r="D119" t="s">
        <v>56</v>
      </c>
      <c r="E119" t="s">
        <v>79</v>
      </c>
      <c r="F119" s="2" t="s">
        <v>317</v>
      </c>
      <c r="H119" s="1"/>
    </row>
    <row r="120" spans="1:8" ht="188.5" x14ac:dyDescent="0.35">
      <c r="A120" t="s">
        <v>118</v>
      </c>
      <c r="B120" t="str">
        <f t="shared" si="4"/>
        <v>CONCUSSIVE_BLAST</v>
      </c>
      <c r="C120" s="1" t="s">
        <v>365</v>
      </c>
      <c r="D120" t="s">
        <v>56</v>
      </c>
      <c r="E120" t="s">
        <v>79</v>
      </c>
      <c r="F120" s="2" t="s">
        <v>318</v>
      </c>
      <c r="H120" s="1"/>
    </row>
    <row r="121" spans="1:8" ht="261" x14ac:dyDescent="0.35">
      <c r="A121" t="s">
        <v>119</v>
      </c>
      <c r="B121" t="str">
        <f t="shared" si="4"/>
        <v>TERRITORY</v>
      </c>
      <c r="C121" s="1" t="s">
        <v>144</v>
      </c>
      <c r="D121" t="s">
        <v>56</v>
      </c>
      <c r="E121" t="s">
        <v>79</v>
      </c>
      <c r="F121" s="2" t="s">
        <v>318</v>
      </c>
      <c r="H121" s="1"/>
    </row>
    <row r="122" spans="1:8" ht="87" x14ac:dyDescent="0.35">
      <c r="A122" t="s">
        <v>120</v>
      </c>
      <c r="B122" t="str">
        <f t="shared" si="4"/>
        <v>ESSENCE_DRAIN</v>
      </c>
      <c r="C122" s="1" t="s">
        <v>145</v>
      </c>
      <c r="D122" t="s">
        <v>56</v>
      </c>
      <c r="E122" t="s">
        <v>79</v>
      </c>
      <c r="F122" s="2" t="s">
        <v>318</v>
      </c>
      <c r="H122" s="1"/>
    </row>
    <row r="123" spans="1:8" ht="58" x14ac:dyDescent="0.35">
      <c r="A123" t="s">
        <v>121</v>
      </c>
      <c r="B123" t="str">
        <f t="shared" si="4"/>
        <v>OVERWHELMING_CONTROL</v>
      </c>
      <c r="C123" s="1" t="s">
        <v>146</v>
      </c>
      <c r="D123" t="s">
        <v>56</v>
      </c>
      <c r="E123" t="s">
        <v>79</v>
      </c>
      <c r="F123" s="2" t="str">
        <f t="shared" si="5"/>
        <v>false</v>
      </c>
      <c r="H123" s="1"/>
    </row>
    <row r="124" spans="1:8" x14ac:dyDescent="0.35">
      <c r="A124" t="s">
        <v>231</v>
      </c>
      <c r="B124" t="str">
        <f t="shared" si="4"/>
        <v>TRAINED</v>
      </c>
      <c r="C124" s="1" t="s">
        <v>210</v>
      </c>
      <c r="D124" t="s">
        <v>211</v>
      </c>
      <c r="E124" t="s">
        <v>202</v>
      </c>
      <c r="F124" s="2" t="str">
        <f t="shared" si="5"/>
        <v>false</v>
      </c>
      <c r="H124" s="1"/>
    </row>
    <row r="125" spans="1:8" ht="29" x14ac:dyDescent="0.35">
      <c r="A125" t="s">
        <v>232</v>
      </c>
      <c r="B125" t="str">
        <f t="shared" si="4"/>
        <v>CLIMBER</v>
      </c>
      <c r="C125" s="1" t="s">
        <v>176</v>
      </c>
      <c r="D125" t="s">
        <v>211</v>
      </c>
      <c r="E125" t="s">
        <v>202</v>
      </c>
      <c r="F125" s="2" t="str">
        <f t="shared" si="5"/>
        <v>false</v>
      </c>
      <c r="H125" s="1"/>
    </row>
    <row r="126" spans="1:8" ht="275.5" x14ac:dyDescent="0.35">
      <c r="A126" t="s">
        <v>233</v>
      </c>
      <c r="B126" t="str">
        <f t="shared" si="4"/>
        <v>WHY_WE_KEEP_GOING</v>
      </c>
      <c r="C126" s="1" t="s">
        <v>366</v>
      </c>
      <c r="D126" t="s">
        <v>211</v>
      </c>
      <c r="E126" t="s">
        <v>202</v>
      </c>
      <c r="F126" s="2" t="str">
        <f t="shared" si="5"/>
        <v>false</v>
      </c>
      <c r="H126" s="1"/>
    </row>
    <row r="127" spans="1:8" x14ac:dyDescent="0.35">
      <c r="A127" t="s">
        <v>234</v>
      </c>
      <c r="B127" t="str">
        <f t="shared" si="4"/>
        <v>SAVINGS</v>
      </c>
      <c r="C127" s="1" t="s">
        <v>177</v>
      </c>
      <c r="D127" t="s">
        <v>211</v>
      </c>
      <c r="E127" t="s">
        <v>202</v>
      </c>
      <c r="F127" s="2" t="str">
        <f t="shared" si="5"/>
        <v>false</v>
      </c>
      <c r="H127" s="1"/>
    </row>
    <row r="128" spans="1:8" ht="116" x14ac:dyDescent="0.35">
      <c r="A128" t="s">
        <v>235</v>
      </c>
      <c r="B128" t="str">
        <f t="shared" si="4"/>
        <v>ADAPTABLE</v>
      </c>
      <c r="C128" s="1" t="s">
        <v>367</v>
      </c>
      <c r="D128" t="s">
        <v>211</v>
      </c>
      <c r="E128" t="s">
        <v>202</v>
      </c>
      <c r="F128" s="2" t="str">
        <f t="shared" si="5"/>
        <v>false</v>
      </c>
      <c r="H128" s="1"/>
    </row>
    <row r="129" spans="1:8" ht="58" x14ac:dyDescent="0.35">
      <c r="A129" t="s">
        <v>236</v>
      </c>
      <c r="B129" t="str">
        <f t="shared" si="4"/>
        <v>TOUGH</v>
      </c>
      <c r="C129" s="1" t="s">
        <v>178</v>
      </c>
      <c r="D129" t="s">
        <v>211</v>
      </c>
      <c r="E129" t="s">
        <v>203</v>
      </c>
      <c r="F129" s="2" t="str">
        <f t="shared" si="5"/>
        <v>false</v>
      </c>
      <c r="H129" s="1"/>
    </row>
    <row r="130" spans="1:8" ht="43.5" x14ac:dyDescent="0.35">
      <c r="A130" t="s">
        <v>237</v>
      </c>
      <c r="B130" t="str">
        <f t="shared" si="4"/>
        <v>BIG</v>
      </c>
      <c r="C130" s="1" t="s">
        <v>368</v>
      </c>
      <c r="D130" t="s">
        <v>211</v>
      </c>
      <c r="E130" t="s">
        <v>203</v>
      </c>
      <c r="F130" s="2" t="str">
        <f t="shared" si="5"/>
        <v>false</v>
      </c>
      <c r="H130" s="1"/>
    </row>
    <row r="131" spans="1:8" ht="43.5" x14ac:dyDescent="0.35">
      <c r="A131" t="s">
        <v>238</v>
      </c>
      <c r="B131" t="str">
        <f t="shared" si="4"/>
        <v>SHARP</v>
      </c>
      <c r="C131" s="1" t="s">
        <v>179</v>
      </c>
      <c r="D131" t="s">
        <v>211</v>
      </c>
      <c r="E131" t="s">
        <v>203</v>
      </c>
      <c r="F131" s="2" t="str">
        <f t="shared" si="5"/>
        <v>false</v>
      </c>
      <c r="H131" s="1"/>
    </row>
    <row r="132" spans="1:8" ht="58" x14ac:dyDescent="0.35">
      <c r="A132" t="s">
        <v>239</v>
      </c>
      <c r="B132" t="str">
        <f t="shared" si="4"/>
        <v>LIVE_TO_HUNT</v>
      </c>
      <c r="C132" s="1" t="s">
        <v>180</v>
      </c>
      <c r="D132" t="s">
        <v>211</v>
      </c>
      <c r="E132" t="s">
        <v>203</v>
      </c>
      <c r="F132" s="2" t="str">
        <f t="shared" si="5"/>
        <v>false</v>
      </c>
      <c r="H132" s="1"/>
    </row>
    <row r="133" spans="1:8" x14ac:dyDescent="0.35">
      <c r="A133" t="s">
        <v>369</v>
      </c>
      <c r="B133" t="str">
        <f t="shared" si="4"/>
        <v>DOESN'T_HUNT_MONEY</v>
      </c>
      <c r="C133" s="1" t="s">
        <v>181</v>
      </c>
      <c r="D133" t="s">
        <v>211</v>
      </c>
      <c r="E133" t="s">
        <v>203</v>
      </c>
      <c r="F133" s="2" t="str">
        <f t="shared" si="5"/>
        <v>false</v>
      </c>
      <c r="H133" s="1"/>
    </row>
    <row r="134" spans="1:8" ht="58" x14ac:dyDescent="0.35">
      <c r="A134" t="s">
        <v>240</v>
      </c>
      <c r="B134" t="str">
        <f t="shared" si="4"/>
        <v>FERAL</v>
      </c>
      <c r="C134" s="1" t="s">
        <v>370</v>
      </c>
      <c r="D134" t="s">
        <v>211</v>
      </c>
      <c r="E134" t="s">
        <v>203</v>
      </c>
      <c r="F134" s="2" t="str">
        <f t="shared" si="5"/>
        <v>false</v>
      </c>
      <c r="H134" s="1"/>
    </row>
    <row r="135" spans="1:8" ht="58" x14ac:dyDescent="0.35">
      <c r="A135" t="s">
        <v>241</v>
      </c>
      <c r="B135" t="str">
        <f t="shared" si="4"/>
        <v>BORN_FIGHTER</v>
      </c>
      <c r="C135" s="1" t="s">
        <v>182</v>
      </c>
      <c r="D135" t="s">
        <v>211</v>
      </c>
      <c r="E135" t="s">
        <v>204</v>
      </c>
      <c r="F135" s="2" t="str">
        <f t="shared" si="5"/>
        <v>false</v>
      </c>
      <c r="H135" s="1"/>
    </row>
    <row r="136" spans="1:8" ht="29" x14ac:dyDescent="0.35">
      <c r="A136" t="s">
        <v>242</v>
      </c>
      <c r="B136" t="str">
        <f t="shared" si="4"/>
        <v>IMPLANTED_WEAKNESS</v>
      </c>
      <c r="C136" s="1" t="s">
        <v>183</v>
      </c>
      <c r="D136" t="s">
        <v>211</v>
      </c>
      <c r="E136" t="s">
        <v>204</v>
      </c>
      <c r="F136" s="2" t="str">
        <f t="shared" si="5"/>
        <v>false</v>
      </c>
      <c r="H136" s="1"/>
    </row>
    <row r="137" spans="1:8" ht="116" x14ac:dyDescent="0.35">
      <c r="A137" t="s">
        <v>243</v>
      </c>
      <c r="B137" t="str">
        <f t="shared" si="4"/>
        <v>NOT_DOWN_YET</v>
      </c>
      <c r="C137" s="1" t="s">
        <v>371</v>
      </c>
      <c r="D137" t="s">
        <v>211</v>
      </c>
      <c r="E137" t="s">
        <v>204</v>
      </c>
      <c r="F137" s="2" t="str">
        <f t="shared" si="5"/>
        <v>false</v>
      </c>
      <c r="H137" s="1"/>
    </row>
    <row r="138" spans="1:8" ht="29" x14ac:dyDescent="0.35">
      <c r="A138" t="s">
        <v>414</v>
      </c>
      <c r="B138" t="str">
        <f t="shared" si="4"/>
        <v>TRANSFORMATION</v>
      </c>
      <c r="C138" s="1" t="s">
        <v>372</v>
      </c>
      <c r="D138" t="s">
        <v>211</v>
      </c>
      <c r="E138" t="s">
        <v>204</v>
      </c>
      <c r="F138" s="2" t="str">
        <f t="shared" si="5"/>
        <v>false</v>
      </c>
      <c r="H138" s="1"/>
    </row>
    <row r="139" spans="1:8" x14ac:dyDescent="0.35">
      <c r="A139" t="s">
        <v>151</v>
      </c>
      <c r="B139" t="str">
        <f t="shared" si="4"/>
        <v>SINK_OR_SWIM</v>
      </c>
      <c r="C139" s="1" t="s">
        <v>181</v>
      </c>
      <c r="D139" t="s">
        <v>211</v>
      </c>
      <c r="E139" t="s">
        <v>204</v>
      </c>
      <c r="F139" s="2" t="str">
        <f t="shared" si="5"/>
        <v>false</v>
      </c>
      <c r="H139" s="1"/>
    </row>
    <row r="140" spans="1:8" ht="87" x14ac:dyDescent="0.35">
      <c r="A140" t="s">
        <v>152</v>
      </c>
      <c r="B140" t="str">
        <f t="shared" si="4"/>
        <v>THE_PATH_FORWARD</v>
      </c>
      <c r="C140" s="1" t="s">
        <v>184</v>
      </c>
      <c r="D140" t="s">
        <v>211</v>
      </c>
      <c r="E140" t="s">
        <v>205</v>
      </c>
      <c r="F140" s="2" t="str">
        <f t="shared" si="5"/>
        <v>false</v>
      </c>
      <c r="H140" s="1"/>
    </row>
    <row r="141" spans="1:8" ht="72.5" x14ac:dyDescent="0.35">
      <c r="A141" t="s">
        <v>153</v>
      </c>
      <c r="B141" t="str">
        <f t="shared" si="4"/>
        <v>PATHFINDER</v>
      </c>
      <c r="C141" s="1" t="s">
        <v>185</v>
      </c>
      <c r="D141" t="s">
        <v>211</v>
      </c>
      <c r="E141" t="s">
        <v>205</v>
      </c>
      <c r="F141" s="2" t="str">
        <f t="shared" si="5"/>
        <v>false</v>
      </c>
      <c r="H141" s="1"/>
    </row>
    <row r="142" spans="1:8" x14ac:dyDescent="0.35">
      <c r="A142" t="s">
        <v>154</v>
      </c>
      <c r="B142" t="str">
        <f t="shared" si="4"/>
        <v>SUPPORT_OF_YOUR_PEOPLE</v>
      </c>
      <c r="C142" s="1" t="s">
        <v>186</v>
      </c>
      <c r="D142" t="s">
        <v>211</v>
      </c>
      <c r="E142" t="s">
        <v>205</v>
      </c>
      <c r="F142" s="2" t="str">
        <f t="shared" si="5"/>
        <v>false</v>
      </c>
      <c r="H142" s="1"/>
    </row>
    <row r="143" spans="1:8" ht="101.5" x14ac:dyDescent="0.35">
      <c r="A143" t="s">
        <v>155</v>
      </c>
      <c r="B143" t="str">
        <f t="shared" si="4"/>
        <v>JURY-RIG</v>
      </c>
      <c r="C143" s="1" t="s">
        <v>373</v>
      </c>
      <c r="D143" t="s">
        <v>211</v>
      </c>
      <c r="E143" t="s">
        <v>205</v>
      </c>
      <c r="F143" s="2" t="str">
        <f t="shared" si="5"/>
        <v>false</v>
      </c>
      <c r="H143" s="1"/>
    </row>
    <row r="144" spans="1:8" ht="72.5" x14ac:dyDescent="0.35">
      <c r="A144" t="s">
        <v>156</v>
      </c>
      <c r="B144" t="str">
        <f t="shared" si="4"/>
        <v>WHERE_FATE_LEADS</v>
      </c>
      <c r="C144" s="1" t="s">
        <v>187</v>
      </c>
      <c r="D144" t="s">
        <v>211</v>
      </c>
      <c r="E144" t="s">
        <v>206</v>
      </c>
      <c r="F144" s="2" t="str">
        <f t="shared" si="5"/>
        <v>false</v>
      </c>
      <c r="H144" s="1"/>
    </row>
    <row r="145" spans="1:8" ht="130.5" x14ac:dyDescent="0.35">
      <c r="A145" t="s">
        <v>157</v>
      </c>
      <c r="B145" t="str">
        <f t="shared" si="4"/>
        <v>GUIDE</v>
      </c>
      <c r="C145" s="1" t="s">
        <v>188</v>
      </c>
      <c r="D145" t="s">
        <v>211</v>
      </c>
      <c r="E145" t="s">
        <v>206</v>
      </c>
      <c r="F145" s="2" t="str">
        <f t="shared" si="5"/>
        <v>false</v>
      </c>
      <c r="H145" s="1"/>
    </row>
    <row r="146" spans="1:8" x14ac:dyDescent="0.35">
      <c r="A146" t="s">
        <v>158</v>
      </c>
      <c r="B146" t="str">
        <f t="shared" si="4"/>
        <v>GIFTS</v>
      </c>
      <c r="C146" s="1" t="s">
        <v>186</v>
      </c>
      <c r="D146" t="s">
        <v>211</v>
      </c>
      <c r="E146" t="s">
        <v>206</v>
      </c>
      <c r="F146" s="2" t="str">
        <f t="shared" si="5"/>
        <v>false</v>
      </c>
      <c r="H146" s="1"/>
    </row>
    <row r="147" spans="1:8" ht="116" x14ac:dyDescent="0.35">
      <c r="A147" t="s">
        <v>374</v>
      </c>
      <c r="B147" t="str">
        <f t="shared" si="4"/>
        <v>CASSANDRA'S_TRUTH</v>
      </c>
      <c r="C147" s="1" t="s">
        <v>375</v>
      </c>
      <c r="D147" t="s">
        <v>211</v>
      </c>
      <c r="E147" t="s">
        <v>206</v>
      </c>
      <c r="F147" s="2" t="str">
        <f t="shared" si="5"/>
        <v>false</v>
      </c>
      <c r="H147" s="1"/>
    </row>
    <row r="148" spans="1:8" ht="29" x14ac:dyDescent="0.35">
      <c r="A148" t="s">
        <v>159</v>
      </c>
      <c r="B148" t="str">
        <f t="shared" si="4"/>
        <v>NEPOTISM</v>
      </c>
      <c r="C148" s="1" t="s">
        <v>189</v>
      </c>
      <c r="D148" t="s">
        <v>211</v>
      </c>
      <c r="E148" t="s">
        <v>207</v>
      </c>
      <c r="F148" s="2" t="str">
        <f t="shared" si="5"/>
        <v>false</v>
      </c>
      <c r="H148" s="1"/>
    </row>
    <row r="149" spans="1:8" ht="43.5" x14ac:dyDescent="0.35">
      <c r="A149" t="s">
        <v>160</v>
      </c>
      <c r="B149" t="str">
        <f t="shared" si="4"/>
        <v>ALLOWANCE</v>
      </c>
      <c r="C149" s="1" t="s">
        <v>376</v>
      </c>
      <c r="D149" t="s">
        <v>211</v>
      </c>
      <c r="E149" t="s">
        <v>207</v>
      </c>
      <c r="F149" s="2" t="str">
        <f t="shared" si="5"/>
        <v>false</v>
      </c>
      <c r="H149" s="1"/>
    </row>
    <row r="150" spans="1:8" ht="43.5" x14ac:dyDescent="0.35">
      <c r="A150" t="s">
        <v>161</v>
      </c>
      <c r="B150" t="str">
        <f t="shared" si="4"/>
        <v>FROWNED_UPON</v>
      </c>
      <c r="C150" s="1" t="s">
        <v>377</v>
      </c>
      <c r="D150" t="s">
        <v>211</v>
      </c>
      <c r="E150" t="s">
        <v>207</v>
      </c>
      <c r="F150" s="2" t="str">
        <f t="shared" si="5"/>
        <v>false</v>
      </c>
      <c r="H150" s="1"/>
    </row>
    <row r="151" spans="1:8" ht="58" x14ac:dyDescent="0.35">
      <c r="A151" t="s">
        <v>162</v>
      </c>
      <c r="B151" t="str">
        <f t="shared" si="4"/>
        <v>BLOODLINE</v>
      </c>
      <c r="C151" s="1" t="s">
        <v>190</v>
      </c>
      <c r="D151" t="s">
        <v>211</v>
      </c>
      <c r="E151" t="s">
        <v>207</v>
      </c>
      <c r="F151" s="2" t="str">
        <f t="shared" si="5"/>
        <v>false</v>
      </c>
      <c r="H151" s="1"/>
    </row>
    <row r="152" spans="1:8" ht="58" x14ac:dyDescent="0.35">
      <c r="A152" t="s">
        <v>378</v>
      </c>
      <c r="B152" t="str">
        <f t="shared" si="4"/>
        <v>YOU_HAVE_YOUR_PARENTS'_FIRE</v>
      </c>
      <c r="C152" s="1" t="s">
        <v>191</v>
      </c>
      <c r="D152" t="s">
        <v>211</v>
      </c>
      <c r="E152" t="s">
        <v>207</v>
      </c>
      <c r="F152" s="2" t="str">
        <f t="shared" si="5"/>
        <v>true</v>
      </c>
      <c r="H152" s="1"/>
    </row>
    <row r="153" spans="1:8" ht="29" x14ac:dyDescent="0.35">
      <c r="A153" t="s">
        <v>163</v>
      </c>
      <c r="B153" t="str">
        <f t="shared" si="4"/>
        <v>MAKING_THE_FAMILY_PROUD</v>
      </c>
      <c r="C153" s="1" t="s">
        <v>192</v>
      </c>
      <c r="D153" t="s">
        <v>211</v>
      </c>
      <c r="E153" t="s">
        <v>207</v>
      </c>
      <c r="F153" s="2" t="str">
        <f t="shared" si="5"/>
        <v>false</v>
      </c>
      <c r="H153" s="1"/>
    </row>
    <row r="154" spans="1:8" x14ac:dyDescent="0.35">
      <c r="A154" t="s">
        <v>164</v>
      </c>
      <c r="B154" t="str">
        <f t="shared" si="4"/>
        <v>WEALTH</v>
      </c>
      <c r="C154" s="1" t="s">
        <v>193</v>
      </c>
      <c r="D154" t="s">
        <v>211</v>
      </c>
      <c r="E154" t="s">
        <v>207</v>
      </c>
      <c r="F154" s="2" t="str">
        <f t="shared" si="5"/>
        <v>false</v>
      </c>
      <c r="H154" s="1"/>
    </row>
    <row r="155" spans="1:8" ht="72.5" x14ac:dyDescent="0.35">
      <c r="A155" t="s">
        <v>165</v>
      </c>
      <c r="B155" t="str">
        <f t="shared" si="4"/>
        <v>ROYAL_BLOOD</v>
      </c>
      <c r="C155" s="1" t="s">
        <v>194</v>
      </c>
      <c r="D155" t="s">
        <v>211</v>
      </c>
      <c r="E155" t="s">
        <v>208</v>
      </c>
      <c r="F155" s="2" t="str">
        <f t="shared" si="5"/>
        <v>false</v>
      </c>
      <c r="H155" s="1"/>
    </row>
    <row r="156" spans="1:8" ht="43.5" x14ac:dyDescent="0.35">
      <c r="A156" t="s">
        <v>166</v>
      </c>
      <c r="B156" t="str">
        <f t="shared" si="4"/>
        <v>COMPETITION</v>
      </c>
      <c r="C156" s="1" t="s">
        <v>379</v>
      </c>
      <c r="D156" t="s">
        <v>211</v>
      </c>
      <c r="E156" t="s">
        <v>208</v>
      </c>
      <c r="F156" s="2" t="str">
        <f t="shared" si="5"/>
        <v>false</v>
      </c>
      <c r="H156" s="1"/>
    </row>
    <row r="157" spans="1:8" x14ac:dyDescent="0.35">
      <c r="A157" t="s">
        <v>167</v>
      </c>
      <c r="B157" t="str">
        <f t="shared" si="4"/>
        <v>RICH</v>
      </c>
      <c r="C157" s="1" t="s">
        <v>195</v>
      </c>
      <c r="D157" t="s">
        <v>211</v>
      </c>
      <c r="E157" t="s">
        <v>208</v>
      </c>
      <c r="F157" s="2" t="str">
        <f t="shared" si="5"/>
        <v>false</v>
      </c>
      <c r="H157" s="1"/>
    </row>
    <row r="158" spans="1:8" ht="43.5" x14ac:dyDescent="0.35">
      <c r="A158" t="s">
        <v>168</v>
      </c>
      <c r="B158" t="str">
        <f t="shared" si="4"/>
        <v>WATCH_YOUR_BACK</v>
      </c>
      <c r="C158" s="1" t="s">
        <v>380</v>
      </c>
      <c r="D158" t="s">
        <v>211</v>
      </c>
      <c r="E158" t="s">
        <v>208</v>
      </c>
      <c r="F158" s="2" t="str">
        <f t="shared" si="5"/>
        <v>false</v>
      </c>
      <c r="H158" s="1"/>
    </row>
    <row r="159" spans="1:8" ht="43.5" x14ac:dyDescent="0.35">
      <c r="A159" t="s">
        <v>169</v>
      </c>
      <c r="B159" t="str">
        <f t="shared" si="4"/>
        <v>LEARN_BY_DOING</v>
      </c>
      <c r="C159" s="1" t="s">
        <v>196</v>
      </c>
      <c r="D159" t="s">
        <v>211</v>
      </c>
      <c r="E159" t="s">
        <v>209</v>
      </c>
      <c r="F159" s="2" t="str">
        <f t="shared" si="5"/>
        <v>true</v>
      </c>
      <c r="H159" s="1"/>
    </row>
    <row r="160" spans="1:8" ht="72.5" x14ac:dyDescent="0.35">
      <c r="A160" t="s">
        <v>170</v>
      </c>
      <c r="B160" t="str">
        <f t="shared" si="4"/>
        <v>SHAKE_THE_FOUNDATIONS_OF_THE_TOWER</v>
      </c>
      <c r="C160" s="1" t="s">
        <v>197</v>
      </c>
      <c r="D160" t="s">
        <v>211</v>
      </c>
      <c r="E160" t="s">
        <v>209</v>
      </c>
      <c r="F160" s="2" t="str">
        <f t="shared" si="5"/>
        <v>false</v>
      </c>
      <c r="H160" s="1"/>
    </row>
    <row r="161" spans="1:8" ht="58" x14ac:dyDescent="0.35">
      <c r="A161" t="s">
        <v>171</v>
      </c>
      <c r="B161" t="str">
        <f t="shared" si="4"/>
        <v>RAPID_GROWTH</v>
      </c>
      <c r="C161" s="1" t="s">
        <v>198</v>
      </c>
      <c r="D161" t="s">
        <v>211</v>
      </c>
      <c r="E161" t="s">
        <v>209</v>
      </c>
      <c r="F161" s="2" t="str">
        <f t="shared" si="5"/>
        <v>false</v>
      </c>
      <c r="H161" s="1"/>
    </row>
    <row r="162" spans="1:8" x14ac:dyDescent="0.35">
      <c r="A162" t="s">
        <v>172</v>
      </c>
      <c r="B162" t="str">
        <f t="shared" si="4"/>
        <v>SURPRISINGLY_DURABLE</v>
      </c>
      <c r="C162" s="1" t="s">
        <v>199</v>
      </c>
      <c r="D162" t="s">
        <v>211</v>
      </c>
      <c r="E162" t="s">
        <v>209</v>
      </c>
      <c r="F162" s="2" t="str">
        <f t="shared" si="5"/>
        <v>false</v>
      </c>
      <c r="H162" s="1"/>
    </row>
    <row r="163" spans="1:8" x14ac:dyDescent="0.35">
      <c r="A163" t="s">
        <v>173</v>
      </c>
      <c r="B163" t="str">
        <f t="shared" ref="B163:B167" si="6">UPPER(SUBSTITUTE(A163, " ", "_"))</f>
        <v>ENTER_ALONE</v>
      </c>
      <c r="C163" s="1" t="s">
        <v>200</v>
      </c>
      <c r="D163" t="s">
        <v>211</v>
      </c>
      <c r="E163" t="s">
        <v>209</v>
      </c>
      <c r="F163" s="2" t="str">
        <f t="shared" si="5"/>
        <v>false</v>
      </c>
      <c r="H163" s="1"/>
    </row>
    <row r="164" spans="1:8" ht="29" x14ac:dyDescent="0.35">
      <c r="A164" t="s">
        <v>174</v>
      </c>
      <c r="B164" t="str">
        <f t="shared" si="6"/>
        <v>STARTING_SMALL</v>
      </c>
      <c r="C164" s="1" t="s">
        <v>201</v>
      </c>
      <c r="D164" t="s">
        <v>211</v>
      </c>
      <c r="E164" t="s">
        <v>209</v>
      </c>
      <c r="F164" s="2" t="str">
        <f t="shared" si="5"/>
        <v>false</v>
      </c>
      <c r="H164" s="1"/>
    </row>
    <row r="165" spans="1:8" ht="43.5" x14ac:dyDescent="0.35">
      <c r="A165" t="s">
        <v>175</v>
      </c>
      <c r="B165" t="str">
        <f t="shared" si="6"/>
        <v>NATURAL_CONTROL</v>
      </c>
      <c r="C165" s="1" t="s">
        <v>381</v>
      </c>
      <c r="D165" t="s">
        <v>211</v>
      </c>
      <c r="E165" t="s">
        <v>209</v>
      </c>
      <c r="F165" s="2" t="str">
        <f t="shared" si="5"/>
        <v>true</v>
      </c>
      <c r="H165" s="1"/>
    </row>
    <row r="166" spans="1:8" ht="72.5" x14ac:dyDescent="0.35">
      <c r="A166" t="s">
        <v>213</v>
      </c>
      <c r="B166" t="str">
        <f t="shared" si="6"/>
        <v>COLD-HEARTED</v>
      </c>
      <c r="C166" s="1" t="s">
        <v>221</v>
      </c>
      <c r="D166" t="s">
        <v>212</v>
      </c>
      <c r="E166" t="s">
        <v>224</v>
      </c>
      <c r="F166" s="2" t="str">
        <f t="shared" si="5"/>
        <v>false</v>
      </c>
      <c r="H166" s="1"/>
    </row>
    <row r="167" spans="1:8" ht="261" x14ac:dyDescent="0.35">
      <c r="A167" t="s">
        <v>214</v>
      </c>
      <c r="B167" t="str">
        <f t="shared" si="6"/>
        <v>CRAFTER</v>
      </c>
      <c r="C167" s="1" t="s">
        <v>382</v>
      </c>
      <c r="D167" t="s">
        <v>212</v>
      </c>
      <c r="E167" t="s">
        <v>225</v>
      </c>
      <c r="F167" s="2" t="str">
        <f t="shared" si="5"/>
        <v>false</v>
      </c>
      <c r="H167" s="1"/>
    </row>
    <row r="168" spans="1:8" ht="72.5" x14ac:dyDescent="0.35">
      <c r="A168" t="s">
        <v>215</v>
      </c>
      <c r="B168" t="str">
        <f t="shared" ref="B168:B173" si="7">UPPER(SUBSTITUTE(A168, " ", "_"))</f>
        <v>STRONGEST_BODY</v>
      </c>
      <c r="C168" s="1" t="s">
        <v>222</v>
      </c>
      <c r="D168" t="s">
        <v>212</v>
      </c>
      <c r="E168" t="s">
        <v>226</v>
      </c>
      <c r="F168" s="2" t="str">
        <f t="shared" si="5"/>
        <v>true</v>
      </c>
      <c r="H168" s="1"/>
    </row>
    <row r="169" spans="1:8" ht="145" x14ac:dyDescent="0.35">
      <c r="A169" t="s">
        <v>216</v>
      </c>
      <c r="B169" t="str">
        <f t="shared" si="7"/>
        <v>CAPTURE</v>
      </c>
      <c r="C169" s="1" t="s">
        <v>383</v>
      </c>
      <c r="D169" t="s">
        <v>212</v>
      </c>
      <c r="E169" t="s">
        <v>416</v>
      </c>
      <c r="F169" s="2" t="str">
        <f t="shared" si="5"/>
        <v>false</v>
      </c>
      <c r="H169" s="1"/>
    </row>
    <row r="170" spans="1:8" ht="43.5" x14ac:dyDescent="0.35">
      <c r="A170" t="s">
        <v>217</v>
      </c>
      <c r="B170" t="str">
        <f t="shared" si="7"/>
        <v>MADE_OF_GRANITE</v>
      </c>
      <c r="C170" s="1" t="s">
        <v>223</v>
      </c>
      <c r="D170" t="s">
        <v>212</v>
      </c>
      <c r="E170" t="s">
        <v>417</v>
      </c>
      <c r="F170" s="2" t="str">
        <f t="shared" si="5"/>
        <v>false</v>
      </c>
      <c r="H170" s="1"/>
    </row>
    <row r="171" spans="1:8" ht="101.5" x14ac:dyDescent="0.35">
      <c r="A171" t="s">
        <v>218</v>
      </c>
      <c r="B171" t="str">
        <f t="shared" si="7"/>
        <v>ANALYSIS</v>
      </c>
      <c r="C171" s="1" t="s">
        <v>384</v>
      </c>
      <c r="D171" t="s">
        <v>212</v>
      </c>
      <c r="E171" t="s">
        <v>415</v>
      </c>
      <c r="F171" s="2" t="str">
        <f t="shared" si="5"/>
        <v>false</v>
      </c>
      <c r="H171" s="1"/>
    </row>
    <row r="172" spans="1:8" ht="261" x14ac:dyDescent="0.35">
      <c r="A172" t="s">
        <v>219</v>
      </c>
      <c r="B172" t="str">
        <f t="shared" si="7"/>
        <v>FAMILY_SWORDSMANSHIP</v>
      </c>
      <c r="C172" s="1" t="s">
        <v>385</v>
      </c>
      <c r="D172" t="s">
        <v>212</v>
      </c>
      <c r="E172" t="s">
        <v>227</v>
      </c>
      <c r="F172" s="2" t="str">
        <f t="shared" si="5"/>
        <v>true</v>
      </c>
      <c r="H172" s="1"/>
    </row>
    <row r="173" spans="1:8" ht="116" x14ac:dyDescent="0.35">
      <c r="A173" t="s">
        <v>220</v>
      </c>
      <c r="B173" t="str">
        <f t="shared" si="7"/>
        <v>SHROUDED_IN_FLAME</v>
      </c>
      <c r="C173" s="1" t="s">
        <v>386</v>
      </c>
      <c r="D173" t="s">
        <v>212</v>
      </c>
      <c r="E173" s="1" t="s">
        <v>230</v>
      </c>
      <c r="F173" s="2" t="str">
        <f t="shared" si="5"/>
        <v>false</v>
      </c>
      <c r="H17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81FAA-98FA-4D02-B76D-B657773D7B1B}">
  <dimension ref="A3:J25"/>
  <sheetViews>
    <sheetView topLeftCell="I22" workbookViewId="0">
      <selection activeCell="I24" sqref="I24"/>
    </sheetView>
  </sheetViews>
  <sheetFormatPr defaultRowHeight="14.5" x14ac:dyDescent="0.35"/>
  <cols>
    <col min="1" max="1" width="0.81640625" customWidth="1"/>
    <col min="2" max="7" width="8.7265625" hidden="1" customWidth="1"/>
    <col min="8" max="8" width="3.36328125" customWidth="1"/>
    <col min="9" max="9" width="151" customWidth="1"/>
  </cols>
  <sheetData>
    <row r="3" spans="9:10" ht="409.5" x14ac:dyDescent="0.35">
      <c r="I3" s="1" t="s">
        <v>390</v>
      </c>
      <c r="J3" s="1" t="s">
        <v>413</v>
      </c>
    </row>
    <row r="4" spans="9:10" ht="409.5" x14ac:dyDescent="0.35">
      <c r="I4" s="1" t="s">
        <v>391</v>
      </c>
    </row>
    <row r="5" spans="9:10" ht="409.5" x14ac:dyDescent="0.35">
      <c r="I5" s="1" t="s">
        <v>392</v>
      </c>
    </row>
    <row r="6" spans="9:10" ht="409.5" x14ac:dyDescent="0.35">
      <c r="I6" s="1" t="s">
        <v>393</v>
      </c>
    </row>
    <row r="7" spans="9:10" ht="409.5" x14ac:dyDescent="0.35">
      <c r="I7" s="1" t="s">
        <v>394</v>
      </c>
    </row>
    <row r="8" spans="9:10" ht="409.5" x14ac:dyDescent="0.35">
      <c r="I8" s="1" t="s">
        <v>395</v>
      </c>
    </row>
    <row r="9" spans="9:10" ht="409.5" x14ac:dyDescent="0.35">
      <c r="I9" s="1" t="s">
        <v>396</v>
      </c>
    </row>
    <row r="10" spans="9:10" ht="409.5" x14ac:dyDescent="0.35">
      <c r="I10" s="1" t="s">
        <v>397</v>
      </c>
    </row>
    <row r="11" spans="9:10" ht="409.5" x14ac:dyDescent="0.35">
      <c r="I11" s="1" t="s">
        <v>398</v>
      </c>
    </row>
    <row r="12" spans="9:10" ht="409.5" x14ac:dyDescent="0.35">
      <c r="I12" s="1" t="s">
        <v>399</v>
      </c>
    </row>
    <row r="13" spans="9:10" ht="348" x14ac:dyDescent="0.35">
      <c r="I13" s="1" t="s">
        <v>400</v>
      </c>
    </row>
    <row r="14" spans="9:10" ht="377" x14ac:dyDescent="0.35">
      <c r="I14" s="1" t="s">
        <v>401</v>
      </c>
    </row>
    <row r="15" spans="9:10" ht="409.5" x14ac:dyDescent="0.35">
      <c r="I15" s="1" t="s">
        <v>402</v>
      </c>
    </row>
    <row r="16" spans="9:10" ht="319" x14ac:dyDescent="0.35">
      <c r="I16" s="1" t="s">
        <v>403</v>
      </c>
    </row>
    <row r="17" spans="1:9" ht="409.5" x14ac:dyDescent="0.35">
      <c r="I17" s="1" t="s">
        <v>404</v>
      </c>
    </row>
    <row r="18" spans="1:9" ht="101.5" x14ac:dyDescent="0.35">
      <c r="I18" s="1" t="s">
        <v>405</v>
      </c>
    </row>
    <row r="19" spans="1:9" ht="159.5" x14ac:dyDescent="0.35">
      <c r="I19" s="1" t="s">
        <v>406</v>
      </c>
    </row>
    <row r="20" spans="1:9" ht="101.5" x14ac:dyDescent="0.35">
      <c r="I20" s="1" t="s">
        <v>407</v>
      </c>
    </row>
    <row r="21" spans="1:9" ht="130.5" x14ac:dyDescent="0.35">
      <c r="A21" s="1"/>
      <c r="I21" s="1" t="s">
        <v>408</v>
      </c>
    </row>
    <row r="22" spans="1:9" ht="87" x14ac:dyDescent="0.35">
      <c r="I22" s="1" t="s">
        <v>409</v>
      </c>
    </row>
    <row r="23" spans="1:9" ht="116" x14ac:dyDescent="0.35">
      <c r="I23" s="1" t="s">
        <v>410</v>
      </c>
    </row>
    <row r="24" spans="1:9" ht="159.5" x14ac:dyDescent="0.35">
      <c r="I24" s="1" t="s">
        <v>411</v>
      </c>
    </row>
    <row r="25" spans="1:9" ht="116" x14ac:dyDescent="0.35">
      <c r="I25" s="1" t="s">
        <v>412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71C9-DB64-4278-B3ED-E51563FD7252}">
  <dimension ref="A1:J16"/>
  <sheetViews>
    <sheetView workbookViewId="0">
      <selection activeCell="J3" sqref="J3"/>
    </sheetView>
  </sheetViews>
  <sheetFormatPr defaultRowHeight="14.5" x14ac:dyDescent="0.35"/>
  <cols>
    <col min="2" max="2" width="10.26953125" customWidth="1"/>
    <col min="3" max="3" width="10.54296875" customWidth="1"/>
  </cols>
  <sheetData>
    <row r="1" spans="1:10" ht="16.5" customHeight="1" x14ac:dyDescent="0.35">
      <c r="A1" t="s">
        <v>4</v>
      </c>
      <c r="B1" t="s">
        <v>229</v>
      </c>
      <c r="C1" s="1" t="s">
        <v>0</v>
      </c>
      <c r="D1" t="s">
        <v>5</v>
      </c>
      <c r="E1" t="s">
        <v>1</v>
      </c>
      <c r="F1" t="s">
        <v>418</v>
      </c>
    </row>
    <row r="2" spans="1:10" x14ac:dyDescent="0.35">
      <c r="A2" t="s">
        <v>419</v>
      </c>
      <c r="B2" t="str">
        <f>UPPER(SUBSTITUTE(A2, " ", "_"))</f>
        <v>MOBILITY_1</v>
      </c>
      <c r="C2" t="s">
        <v>426</v>
      </c>
      <c r="D2" t="s">
        <v>211</v>
      </c>
      <c r="E2" t="s">
        <v>204</v>
      </c>
      <c r="F2">
        <v>1</v>
      </c>
    </row>
    <row r="3" spans="1:10" ht="409.5" x14ac:dyDescent="0.35">
      <c r="A3" t="s">
        <v>420</v>
      </c>
      <c r="B3" t="str">
        <f t="shared" ref="B3:B16" si="0">UPPER(SUBSTITUTE(A3, " ", "_"))</f>
        <v>MOBILITY_2</v>
      </c>
      <c r="C3" t="s">
        <v>427</v>
      </c>
      <c r="D3" t="s">
        <v>211</v>
      </c>
      <c r="E3" t="s">
        <v>204</v>
      </c>
      <c r="F3">
        <v>2</v>
      </c>
      <c r="I3" s="1" t="s">
        <v>447</v>
      </c>
      <c r="J3" s="1" t="s">
        <v>447</v>
      </c>
    </row>
    <row r="4" spans="1:10" x14ac:dyDescent="0.35">
      <c r="A4" t="s">
        <v>421</v>
      </c>
      <c r="B4" t="str">
        <f t="shared" si="0"/>
        <v>MOBILITY_3</v>
      </c>
      <c r="C4" t="s">
        <v>428</v>
      </c>
      <c r="D4" t="s">
        <v>211</v>
      </c>
      <c r="E4" t="s">
        <v>204</v>
      </c>
      <c r="F4">
        <v>3</v>
      </c>
    </row>
    <row r="5" spans="1:10" x14ac:dyDescent="0.35">
      <c r="A5" t="s">
        <v>422</v>
      </c>
      <c r="B5" t="str">
        <f t="shared" si="0"/>
        <v>MOBILITY_4</v>
      </c>
      <c r="C5" t="s">
        <v>429</v>
      </c>
      <c r="D5" t="s">
        <v>211</v>
      </c>
      <c r="E5" t="s">
        <v>204</v>
      </c>
      <c r="F5">
        <v>4</v>
      </c>
    </row>
    <row r="6" spans="1:10" x14ac:dyDescent="0.35">
      <c r="A6" t="s">
        <v>423</v>
      </c>
      <c r="B6" t="str">
        <f t="shared" si="0"/>
        <v>MOBILITY_5</v>
      </c>
      <c r="C6" t="s">
        <v>430</v>
      </c>
      <c r="D6" t="s">
        <v>211</v>
      </c>
      <c r="E6" t="s">
        <v>204</v>
      </c>
      <c r="F6">
        <v>5</v>
      </c>
    </row>
    <row r="7" spans="1:10" x14ac:dyDescent="0.35">
      <c r="A7" t="s">
        <v>424</v>
      </c>
      <c r="B7" t="str">
        <f t="shared" si="0"/>
        <v>MOBILITY_6</v>
      </c>
      <c r="C7" t="s">
        <v>431</v>
      </c>
      <c r="D7" t="s">
        <v>211</v>
      </c>
      <c r="E7" t="s">
        <v>204</v>
      </c>
      <c r="F7">
        <v>6</v>
      </c>
    </row>
    <row r="8" spans="1:10" x14ac:dyDescent="0.35">
      <c r="A8" t="s">
        <v>425</v>
      </c>
      <c r="B8" t="str">
        <f t="shared" si="0"/>
        <v>MOBILITY_7</v>
      </c>
      <c r="C8" t="s">
        <v>432</v>
      </c>
      <c r="D8" t="s">
        <v>211</v>
      </c>
      <c r="E8" t="s">
        <v>204</v>
      </c>
      <c r="F8">
        <v>7</v>
      </c>
    </row>
    <row r="9" spans="1:10" x14ac:dyDescent="0.35">
      <c r="A9" t="s">
        <v>440</v>
      </c>
      <c r="B9" t="str">
        <f t="shared" si="0"/>
        <v>WEAPON_1</v>
      </c>
      <c r="C9" t="s">
        <v>433</v>
      </c>
      <c r="D9" t="s">
        <v>211</v>
      </c>
      <c r="E9" t="s">
        <v>204</v>
      </c>
      <c r="F9">
        <v>1</v>
      </c>
    </row>
    <row r="10" spans="1:10" x14ac:dyDescent="0.35">
      <c r="A10" t="s">
        <v>441</v>
      </c>
      <c r="B10" t="str">
        <f t="shared" si="0"/>
        <v>WEAPON_2</v>
      </c>
      <c r="C10" t="s">
        <v>434</v>
      </c>
      <c r="D10" t="s">
        <v>211</v>
      </c>
      <c r="E10" t="s">
        <v>204</v>
      </c>
      <c r="F10">
        <v>2</v>
      </c>
    </row>
    <row r="11" spans="1:10" x14ac:dyDescent="0.35">
      <c r="A11" t="s">
        <v>442</v>
      </c>
      <c r="B11" t="str">
        <f t="shared" si="0"/>
        <v>WEAPON_3</v>
      </c>
      <c r="C11" t="s">
        <v>435</v>
      </c>
      <c r="D11" t="s">
        <v>211</v>
      </c>
      <c r="E11" t="s">
        <v>204</v>
      </c>
      <c r="F11">
        <v>3</v>
      </c>
    </row>
    <row r="12" spans="1:10" x14ac:dyDescent="0.35">
      <c r="A12" t="s">
        <v>443</v>
      </c>
      <c r="B12" t="str">
        <f t="shared" si="0"/>
        <v>WEAPON_4</v>
      </c>
      <c r="C12" t="s">
        <v>436</v>
      </c>
      <c r="D12" t="s">
        <v>211</v>
      </c>
      <c r="E12" t="s">
        <v>204</v>
      </c>
      <c r="F12">
        <v>4</v>
      </c>
    </row>
    <row r="13" spans="1:10" x14ac:dyDescent="0.35">
      <c r="A13" t="s">
        <v>444</v>
      </c>
      <c r="B13" t="str">
        <f t="shared" si="0"/>
        <v>WEAPON_5</v>
      </c>
      <c r="C13" t="s">
        <v>437</v>
      </c>
      <c r="D13" t="s">
        <v>211</v>
      </c>
      <c r="E13" t="s">
        <v>204</v>
      </c>
      <c r="F13">
        <v>5</v>
      </c>
    </row>
    <row r="14" spans="1:10" x14ac:dyDescent="0.35">
      <c r="A14" t="s">
        <v>445</v>
      </c>
      <c r="B14" t="str">
        <f t="shared" si="0"/>
        <v>WEAPON_6</v>
      </c>
      <c r="C14" t="s">
        <v>438</v>
      </c>
      <c r="D14" t="s">
        <v>211</v>
      </c>
      <c r="E14" t="s">
        <v>204</v>
      </c>
      <c r="F14">
        <v>6</v>
      </c>
    </row>
    <row r="15" spans="1:10" x14ac:dyDescent="0.35">
      <c r="A15" t="s">
        <v>446</v>
      </c>
      <c r="B15" t="str">
        <f t="shared" si="0"/>
        <v>WEAPON_7</v>
      </c>
      <c r="C15" t="s">
        <v>439</v>
      </c>
      <c r="D15" t="s">
        <v>211</v>
      </c>
      <c r="E15" t="s">
        <v>204</v>
      </c>
      <c r="F15">
        <v>7</v>
      </c>
    </row>
    <row r="16" spans="1:10" x14ac:dyDescent="0.35">
      <c r="B16" t="str">
        <f t="shared" si="0"/>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6376-2FB6-4DBD-8276-72B894ADFEE4}">
  <dimension ref="A1:E16"/>
  <sheetViews>
    <sheetView zoomScale="115" zoomScaleNormal="115" workbookViewId="0">
      <selection activeCell="G2" sqref="G2"/>
    </sheetView>
  </sheetViews>
  <sheetFormatPr defaultRowHeight="14.5" x14ac:dyDescent="0.35"/>
  <cols>
    <col min="1" max="1" width="13.81640625" bestFit="1" customWidth="1"/>
    <col min="2" max="2" width="11.36328125" bestFit="1" customWidth="1"/>
    <col min="3" max="3" width="8.90625" bestFit="1" customWidth="1"/>
    <col min="4" max="4" width="18.1796875" bestFit="1" customWidth="1"/>
  </cols>
  <sheetData>
    <row r="1" spans="1:5" x14ac:dyDescent="0.35">
      <c r="B1" t="s">
        <v>273</v>
      </c>
      <c r="C1" t="s">
        <v>262</v>
      </c>
      <c r="D1" t="s">
        <v>264</v>
      </c>
      <c r="E1" t="s">
        <v>263</v>
      </c>
    </row>
    <row r="2" spans="1:5" x14ac:dyDescent="0.35">
      <c r="A2" t="s">
        <v>261</v>
      </c>
    </row>
    <row r="3" spans="1:5" x14ac:dyDescent="0.35">
      <c r="A3" t="s">
        <v>265</v>
      </c>
    </row>
    <row r="4" spans="1:5" x14ac:dyDescent="0.35">
      <c r="A4" t="s">
        <v>271</v>
      </c>
    </row>
    <row r="5" spans="1:5" x14ac:dyDescent="0.35">
      <c r="A5" t="s">
        <v>266</v>
      </c>
    </row>
    <row r="6" spans="1:5" x14ac:dyDescent="0.35">
      <c r="A6" t="s">
        <v>255</v>
      </c>
    </row>
    <row r="7" spans="1:5" x14ac:dyDescent="0.35">
      <c r="A7" t="s">
        <v>256</v>
      </c>
    </row>
    <row r="8" spans="1:5" x14ac:dyDescent="0.35">
      <c r="A8" t="s">
        <v>257</v>
      </c>
    </row>
    <row r="9" spans="1:5" x14ac:dyDescent="0.35">
      <c r="A9" t="s">
        <v>267</v>
      </c>
    </row>
    <row r="10" spans="1:5" x14ac:dyDescent="0.35">
      <c r="A10" t="s">
        <v>268</v>
      </c>
    </row>
    <row r="11" spans="1:5" x14ac:dyDescent="0.35">
      <c r="A11" t="s">
        <v>258</v>
      </c>
    </row>
    <row r="12" spans="1:5" x14ac:dyDescent="0.35">
      <c r="A12" t="s">
        <v>269</v>
      </c>
    </row>
    <row r="13" spans="1:5" x14ac:dyDescent="0.35">
      <c r="A13" t="s">
        <v>259</v>
      </c>
    </row>
    <row r="14" spans="1:5" x14ac:dyDescent="0.35">
      <c r="A14" t="s">
        <v>272</v>
      </c>
    </row>
    <row r="15" spans="1:5" x14ac:dyDescent="0.35">
      <c r="A15" t="s">
        <v>260</v>
      </c>
    </row>
    <row r="16" spans="1:5" x14ac:dyDescent="0.35">
      <c r="A16" t="s">
        <v>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B2C6-B4CA-4619-90D1-8872975B955E}">
  <dimension ref="A1:F173"/>
  <sheetViews>
    <sheetView topLeftCell="A27" workbookViewId="0">
      <selection activeCell="B47" sqref="B47"/>
    </sheetView>
  </sheetViews>
  <sheetFormatPr defaultRowHeight="14.5" x14ac:dyDescent="0.35"/>
  <cols>
    <col min="1" max="1" width="18.453125" customWidth="1"/>
    <col min="2" max="2" width="11.81640625" customWidth="1"/>
    <col min="3" max="3" width="18.453125" customWidth="1"/>
    <col min="4" max="4" width="4.6328125" customWidth="1"/>
    <col min="5" max="5" width="133.1796875" style="4" customWidth="1"/>
    <col min="6" max="6" width="18.453125" customWidth="1"/>
  </cols>
  <sheetData>
    <row r="1" spans="1:6" x14ac:dyDescent="0.35">
      <c r="A1" t="s">
        <v>448</v>
      </c>
      <c r="B1" t="s">
        <v>449</v>
      </c>
      <c r="C1" t="s">
        <v>450</v>
      </c>
      <c r="D1" t="s">
        <v>451</v>
      </c>
      <c r="E1" t="s">
        <v>453</v>
      </c>
      <c r="F1" t="s">
        <v>452</v>
      </c>
    </row>
    <row r="2" spans="1:6" x14ac:dyDescent="0.35">
      <c r="A2" t="s">
        <v>454</v>
      </c>
      <c r="B2" t="s">
        <v>455</v>
      </c>
      <c r="C2" t="s">
        <v>456</v>
      </c>
      <c r="E2" t="s">
        <v>458</v>
      </c>
      <c r="F2" t="s">
        <v>457</v>
      </c>
    </row>
    <row r="3" spans="1:6" x14ac:dyDescent="0.35">
      <c r="A3" t="s">
        <v>459</v>
      </c>
      <c r="B3" t="s">
        <v>460</v>
      </c>
      <c r="C3" t="s">
        <v>456</v>
      </c>
      <c r="D3" t="s">
        <v>461</v>
      </c>
      <c r="E3" t="s">
        <v>462</v>
      </c>
      <c r="F3" t="s">
        <v>457</v>
      </c>
    </row>
    <row r="4" spans="1:6" x14ac:dyDescent="0.35">
      <c r="A4" t="s">
        <v>463</v>
      </c>
      <c r="B4" t="s">
        <v>464</v>
      </c>
      <c r="C4" t="s">
        <v>465</v>
      </c>
      <c r="D4" t="s">
        <v>466</v>
      </c>
      <c r="E4" t="s">
        <v>467</v>
      </c>
      <c r="F4" t="s">
        <v>457</v>
      </c>
    </row>
    <row r="5" spans="1:6" x14ac:dyDescent="0.35">
      <c r="A5" t="s">
        <v>468</v>
      </c>
      <c r="B5" t="s">
        <v>464</v>
      </c>
      <c r="C5" t="s">
        <v>465</v>
      </c>
      <c r="D5" t="s">
        <v>466</v>
      </c>
      <c r="E5" t="s">
        <v>469</v>
      </c>
      <c r="F5" t="s">
        <v>457</v>
      </c>
    </row>
    <row r="6" spans="1:6" x14ac:dyDescent="0.35">
      <c r="A6" t="s">
        <v>470</v>
      </c>
      <c r="B6" t="s">
        <v>455</v>
      </c>
      <c r="D6" t="s">
        <v>461</v>
      </c>
      <c r="E6" t="s">
        <v>472</v>
      </c>
      <c r="F6" t="s">
        <v>471</v>
      </c>
    </row>
    <row r="7" spans="1:6" x14ac:dyDescent="0.35">
      <c r="A7" t="s">
        <v>473</v>
      </c>
      <c r="B7" t="s">
        <v>455</v>
      </c>
      <c r="C7" t="s">
        <v>474</v>
      </c>
      <c r="D7" t="s">
        <v>475</v>
      </c>
      <c r="E7" t="s">
        <v>477</v>
      </c>
      <c r="F7" t="s">
        <v>476</v>
      </c>
    </row>
    <row r="8" spans="1:6" x14ac:dyDescent="0.35">
      <c r="A8" t="s">
        <v>478</v>
      </c>
      <c r="B8" t="s">
        <v>464</v>
      </c>
      <c r="C8" t="s">
        <v>479</v>
      </c>
      <c r="D8" t="s">
        <v>461</v>
      </c>
      <c r="E8" t="s">
        <v>480</v>
      </c>
      <c r="F8" t="s">
        <v>476</v>
      </c>
    </row>
    <row r="9" spans="1:6" x14ac:dyDescent="0.35">
      <c r="A9" t="s">
        <v>481</v>
      </c>
      <c r="B9" t="s">
        <v>464</v>
      </c>
      <c r="C9" t="s">
        <v>482</v>
      </c>
      <c r="D9" t="s">
        <v>466</v>
      </c>
      <c r="E9" t="s">
        <v>484</v>
      </c>
      <c r="F9" t="s">
        <v>483</v>
      </c>
    </row>
    <row r="10" spans="1:6" x14ac:dyDescent="0.35">
      <c r="A10" t="s">
        <v>485</v>
      </c>
      <c r="B10" t="s">
        <v>464</v>
      </c>
      <c r="C10" t="s">
        <v>486</v>
      </c>
      <c r="D10" t="s">
        <v>461</v>
      </c>
      <c r="E10" t="s">
        <v>487</v>
      </c>
      <c r="F10" t="s">
        <v>483</v>
      </c>
    </row>
    <row r="11" spans="1:6" x14ac:dyDescent="0.35">
      <c r="A11" t="s">
        <v>488</v>
      </c>
      <c r="B11" t="s">
        <v>464</v>
      </c>
      <c r="C11" t="s">
        <v>489</v>
      </c>
      <c r="D11" t="s">
        <v>490</v>
      </c>
      <c r="E11" t="s">
        <v>492</v>
      </c>
      <c r="F11" t="s">
        <v>491</v>
      </c>
    </row>
    <row r="12" spans="1:6" x14ac:dyDescent="0.35">
      <c r="A12" t="s">
        <v>493</v>
      </c>
      <c r="B12" t="s">
        <v>464</v>
      </c>
      <c r="C12" t="s">
        <v>486</v>
      </c>
      <c r="D12" t="s">
        <v>466</v>
      </c>
      <c r="E12" t="s">
        <v>494</v>
      </c>
      <c r="F12" t="s">
        <v>491</v>
      </c>
    </row>
    <row r="13" spans="1:6" x14ac:dyDescent="0.35">
      <c r="A13" t="s">
        <v>495</v>
      </c>
      <c r="B13" t="s">
        <v>496</v>
      </c>
      <c r="E13" t="s">
        <v>498</v>
      </c>
      <c r="F13" t="s">
        <v>497</v>
      </c>
    </row>
    <row r="14" spans="1:6" x14ac:dyDescent="0.35">
      <c r="A14" t="s">
        <v>499</v>
      </c>
      <c r="B14" t="s">
        <v>496</v>
      </c>
      <c r="C14" t="s">
        <v>500</v>
      </c>
      <c r="E14" t="s">
        <v>501</v>
      </c>
      <c r="F14" t="s">
        <v>497</v>
      </c>
    </row>
    <row r="15" spans="1:6" x14ac:dyDescent="0.35">
      <c r="A15" t="s">
        <v>502</v>
      </c>
      <c r="B15" t="s">
        <v>464</v>
      </c>
      <c r="C15" t="s">
        <v>503</v>
      </c>
      <c r="D15" t="s">
        <v>466</v>
      </c>
      <c r="E15" t="s">
        <v>504</v>
      </c>
      <c r="F15" t="s">
        <v>497</v>
      </c>
    </row>
    <row r="16" spans="1:6" x14ac:dyDescent="0.35">
      <c r="A16" t="s">
        <v>505</v>
      </c>
      <c r="B16" t="s">
        <v>464</v>
      </c>
      <c r="C16" t="s">
        <v>489</v>
      </c>
      <c r="D16" t="s">
        <v>506</v>
      </c>
      <c r="E16" t="s">
        <v>507</v>
      </c>
      <c r="F16" t="s">
        <v>497</v>
      </c>
    </row>
    <row r="17" spans="1:6" x14ac:dyDescent="0.35">
      <c r="A17" t="s">
        <v>508</v>
      </c>
      <c r="B17" t="s">
        <v>464</v>
      </c>
      <c r="C17" t="s">
        <v>482</v>
      </c>
      <c r="D17" t="s">
        <v>461</v>
      </c>
      <c r="E17" t="s">
        <v>509</v>
      </c>
      <c r="F17" t="s">
        <v>497</v>
      </c>
    </row>
    <row r="18" spans="1:6" x14ac:dyDescent="0.35">
      <c r="A18" t="s">
        <v>510</v>
      </c>
      <c r="B18" t="s">
        <v>464</v>
      </c>
      <c r="C18" t="s">
        <v>482</v>
      </c>
      <c r="D18" t="s">
        <v>490</v>
      </c>
      <c r="E18" t="s">
        <v>511</v>
      </c>
      <c r="F18" t="s">
        <v>497</v>
      </c>
    </row>
    <row r="19" spans="1:6" x14ac:dyDescent="0.35">
      <c r="A19" t="s">
        <v>512</v>
      </c>
      <c r="B19" t="s">
        <v>464</v>
      </c>
      <c r="C19" t="s">
        <v>479</v>
      </c>
      <c r="D19" t="s">
        <v>466</v>
      </c>
      <c r="E19" t="s">
        <v>513</v>
      </c>
      <c r="F19" t="s">
        <v>497</v>
      </c>
    </row>
    <row r="20" spans="1:6" x14ac:dyDescent="0.35">
      <c r="A20" t="s">
        <v>514</v>
      </c>
      <c r="B20" t="s">
        <v>464</v>
      </c>
      <c r="C20" t="s">
        <v>515</v>
      </c>
      <c r="D20" t="s">
        <v>461</v>
      </c>
      <c r="E20" t="s">
        <v>517</v>
      </c>
      <c r="F20" t="s">
        <v>516</v>
      </c>
    </row>
    <row r="21" spans="1:6" x14ac:dyDescent="0.35">
      <c r="A21" t="s">
        <v>518</v>
      </c>
      <c r="B21" t="s">
        <v>464</v>
      </c>
      <c r="C21" t="s">
        <v>519</v>
      </c>
      <c r="D21" t="s">
        <v>506</v>
      </c>
      <c r="E21" t="s">
        <v>521</v>
      </c>
      <c r="F21" t="s">
        <v>520</v>
      </c>
    </row>
    <row r="22" spans="1:6" x14ac:dyDescent="0.35">
      <c r="A22" t="s">
        <v>522</v>
      </c>
      <c r="B22" t="s">
        <v>496</v>
      </c>
      <c r="D22" t="s">
        <v>461</v>
      </c>
      <c r="E22" t="s">
        <v>524</v>
      </c>
      <c r="F22" t="s">
        <v>523</v>
      </c>
    </row>
    <row r="23" spans="1:6" x14ac:dyDescent="0.35">
      <c r="A23" t="s">
        <v>525</v>
      </c>
      <c r="B23" t="s">
        <v>464</v>
      </c>
      <c r="C23" t="s">
        <v>482</v>
      </c>
      <c r="D23" t="s">
        <v>461</v>
      </c>
      <c r="E23" t="s">
        <v>526</v>
      </c>
      <c r="F23" t="s">
        <v>523</v>
      </c>
    </row>
    <row r="24" spans="1:6" x14ac:dyDescent="0.35">
      <c r="A24" t="s">
        <v>527</v>
      </c>
      <c r="B24" t="s">
        <v>496</v>
      </c>
      <c r="C24" t="s">
        <v>500</v>
      </c>
      <c r="E24" t="s">
        <v>529</v>
      </c>
      <c r="F24" t="s">
        <v>528</v>
      </c>
    </row>
    <row r="25" spans="1:6" x14ac:dyDescent="0.35">
      <c r="A25" t="s">
        <v>530</v>
      </c>
      <c r="B25" t="s">
        <v>464</v>
      </c>
      <c r="C25" t="s">
        <v>531</v>
      </c>
      <c r="D25" t="s">
        <v>490</v>
      </c>
      <c r="E25" t="s">
        <v>533</v>
      </c>
      <c r="F25" t="s">
        <v>532</v>
      </c>
    </row>
    <row r="26" spans="1:6" x14ac:dyDescent="0.35">
      <c r="A26" t="s">
        <v>534</v>
      </c>
      <c r="B26" t="s">
        <v>464</v>
      </c>
      <c r="C26" t="s">
        <v>535</v>
      </c>
      <c r="D26" t="s">
        <v>490</v>
      </c>
      <c r="E26" t="s">
        <v>536</v>
      </c>
      <c r="F26" t="s">
        <v>532</v>
      </c>
    </row>
    <row r="27" spans="1:6" x14ac:dyDescent="0.35">
      <c r="A27" t="s">
        <v>537</v>
      </c>
      <c r="B27" t="s">
        <v>464</v>
      </c>
      <c r="C27" t="s">
        <v>489</v>
      </c>
      <c r="D27" t="s">
        <v>461</v>
      </c>
      <c r="E27" t="s">
        <v>538</v>
      </c>
      <c r="F27" t="s">
        <v>532</v>
      </c>
    </row>
    <row r="28" spans="1:6" x14ac:dyDescent="0.35">
      <c r="A28" t="s">
        <v>539</v>
      </c>
      <c r="B28" t="s">
        <v>455</v>
      </c>
      <c r="C28" t="s">
        <v>500</v>
      </c>
      <c r="E28" t="s">
        <v>541</v>
      </c>
      <c r="F28" t="s">
        <v>540</v>
      </c>
    </row>
    <row r="29" spans="1:6" x14ac:dyDescent="0.35">
      <c r="A29" t="s">
        <v>542</v>
      </c>
      <c r="B29" t="s">
        <v>464</v>
      </c>
      <c r="C29" t="s">
        <v>543</v>
      </c>
      <c r="D29" t="s">
        <v>506</v>
      </c>
      <c r="E29" t="s">
        <v>545</v>
      </c>
      <c r="F29" t="s">
        <v>544</v>
      </c>
    </row>
    <row r="30" spans="1:6" x14ac:dyDescent="0.35">
      <c r="A30" t="s">
        <v>546</v>
      </c>
      <c r="B30" t="s">
        <v>547</v>
      </c>
      <c r="C30" t="s">
        <v>548</v>
      </c>
      <c r="D30" t="s">
        <v>490</v>
      </c>
      <c r="E30" t="s">
        <v>550</v>
      </c>
      <c r="F30" t="s">
        <v>549</v>
      </c>
    </row>
    <row r="31" spans="1:6" x14ac:dyDescent="0.35">
      <c r="A31" t="s">
        <v>551</v>
      </c>
      <c r="B31" t="s">
        <v>496</v>
      </c>
      <c r="E31" t="s">
        <v>553</v>
      </c>
      <c r="F31" t="s">
        <v>552</v>
      </c>
    </row>
    <row r="32" spans="1:6" x14ac:dyDescent="0.35">
      <c r="A32" t="s">
        <v>554</v>
      </c>
      <c r="B32" t="s">
        <v>455</v>
      </c>
      <c r="E32" t="s">
        <v>555</v>
      </c>
      <c r="F32" t="s">
        <v>552</v>
      </c>
    </row>
    <row r="33" spans="1:6" x14ac:dyDescent="0.35">
      <c r="A33" t="s">
        <v>556</v>
      </c>
      <c r="B33" t="s">
        <v>455</v>
      </c>
      <c r="E33" t="s">
        <v>557</v>
      </c>
      <c r="F33" t="s">
        <v>552</v>
      </c>
    </row>
    <row r="34" spans="1:6" x14ac:dyDescent="0.35">
      <c r="A34" t="s">
        <v>558</v>
      </c>
      <c r="B34" t="s">
        <v>464</v>
      </c>
      <c r="C34" t="s">
        <v>559</v>
      </c>
      <c r="D34" t="s">
        <v>466</v>
      </c>
      <c r="E34" t="s">
        <v>561</v>
      </c>
      <c r="F34" t="s">
        <v>560</v>
      </c>
    </row>
    <row r="35" spans="1:6" x14ac:dyDescent="0.35">
      <c r="A35" t="s">
        <v>562</v>
      </c>
      <c r="B35" t="s">
        <v>455</v>
      </c>
      <c r="C35" t="s">
        <v>500</v>
      </c>
      <c r="E35" t="s">
        <v>564</v>
      </c>
      <c r="F35" t="s">
        <v>563</v>
      </c>
    </row>
    <row r="36" spans="1:6" x14ac:dyDescent="0.35">
      <c r="A36" t="s">
        <v>565</v>
      </c>
      <c r="B36" t="s">
        <v>455</v>
      </c>
      <c r="C36" t="s">
        <v>500</v>
      </c>
      <c r="E36" t="s">
        <v>566</v>
      </c>
      <c r="F36" t="s">
        <v>563</v>
      </c>
    </row>
    <row r="37" spans="1:6" x14ac:dyDescent="0.35">
      <c r="A37" t="s">
        <v>567</v>
      </c>
      <c r="B37" t="s">
        <v>464</v>
      </c>
      <c r="C37" t="s">
        <v>479</v>
      </c>
      <c r="D37" t="s">
        <v>490</v>
      </c>
      <c r="E37" t="s">
        <v>568</v>
      </c>
      <c r="F37" t="s">
        <v>563</v>
      </c>
    </row>
    <row r="38" spans="1:6" x14ac:dyDescent="0.35">
      <c r="A38" t="s">
        <v>569</v>
      </c>
      <c r="B38" t="s">
        <v>464</v>
      </c>
      <c r="C38" t="s">
        <v>570</v>
      </c>
      <c r="D38" t="s">
        <v>466</v>
      </c>
      <c r="E38" t="s">
        <v>571</v>
      </c>
      <c r="F38" t="s">
        <v>563</v>
      </c>
    </row>
    <row r="39" spans="1:6" x14ac:dyDescent="0.35">
      <c r="A39" t="s">
        <v>572</v>
      </c>
      <c r="B39" t="s">
        <v>464</v>
      </c>
      <c r="C39" t="s">
        <v>515</v>
      </c>
      <c r="D39" t="s">
        <v>490</v>
      </c>
      <c r="E39" t="s">
        <v>574</v>
      </c>
      <c r="F39" t="s">
        <v>573</v>
      </c>
    </row>
    <row r="40" spans="1:6" x14ac:dyDescent="0.35">
      <c r="A40" t="s">
        <v>575</v>
      </c>
      <c r="B40" t="s">
        <v>464</v>
      </c>
      <c r="C40" t="s">
        <v>576</v>
      </c>
      <c r="D40" t="s">
        <v>461</v>
      </c>
      <c r="E40" t="s">
        <v>577</v>
      </c>
      <c r="F40" t="s">
        <v>573</v>
      </c>
    </row>
    <row r="41" spans="1:6" x14ac:dyDescent="0.35">
      <c r="A41" t="s">
        <v>578</v>
      </c>
      <c r="B41" t="s">
        <v>464</v>
      </c>
      <c r="C41" t="s">
        <v>535</v>
      </c>
      <c r="D41" t="s">
        <v>466</v>
      </c>
      <c r="E41" t="s">
        <v>579</v>
      </c>
      <c r="F41" t="s">
        <v>573</v>
      </c>
    </row>
    <row r="42" spans="1:6" x14ac:dyDescent="0.35">
      <c r="A42" t="s">
        <v>580</v>
      </c>
      <c r="B42" t="s">
        <v>460</v>
      </c>
      <c r="C42" t="s">
        <v>500</v>
      </c>
      <c r="E42" t="s">
        <v>582</v>
      </c>
      <c r="F42" t="s">
        <v>581</v>
      </c>
    </row>
    <row r="43" spans="1:6" x14ac:dyDescent="0.35">
      <c r="A43" t="s">
        <v>583</v>
      </c>
      <c r="B43" t="s">
        <v>464</v>
      </c>
      <c r="C43" t="s">
        <v>584</v>
      </c>
      <c r="D43" t="s">
        <v>466</v>
      </c>
      <c r="E43" t="s">
        <v>585</v>
      </c>
      <c r="F43" t="s">
        <v>581</v>
      </c>
    </row>
    <row r="44" spans="1:6" x14ac:dyDescent="0.35">
      <c r="A44" t="s">
        <v>586</v>
      </c>
      <c r="B44" t="s">
        <v>455</v>
      </c>
      <c r="D44" t="s">
        <v>466</v>
      </c>
      <c r="E44" t="s">
        <v>588</v>
      </c>
      <c r="F44" t="s">
        <v>587</v>
      </c>
    </row>
    <row r="45" spans="1:6" x14ac:dyDescent="0.35">
      <c r="A45" t="s">
        <v>589</v>
      </c>
      <c r="B45" t="s">
        <v>455</v>
      </c>
      <c r="D45" t="s">
        <v>461</v>
      </c>
      <c r="E45" t="s">
        <v>590</v>
      </c>
      <c r="F45" t="s">
        <v>587</v>
      </c>
    </row>
    <row r="46" spans="1:6" x14ac:dyDescent="0.35">
      <c r="A46" t="s">
        <v>591</v>
      </c>
      <c r="B46" t="s">
        <v>496</v>
      </c>
      <c r="E46" t="s">
        <v>593</v>
      </c>
      <c r="F46" t="s">
        <v>592</v>
      </c>
    </row>
    <row r="47" spans="1:6" x14ac:dyDescent="0.35">
      <c r="A47" t="s">
        <v>594</v>
      </c>
      <c r="B47" t="s">
        <v>595</v>
      </c>
      <c r="E47" t="s">
        <v>596</v>
      </c>
      <c r="F47" t="s">
        <v>592</v>
      </c>
    </row>
    <row r="48" spans="1:6" x14ac:dyDescent="0.35">
      <c r="A48" t="s">
        <v>597</v>
      </c>
      <c r="B48" t="s">
        <v>464</v>
      </c>
      <c r="C48" t="s">
        <v>598</v>
      </c>
      <c r="D48" t="s">
        <v>466</v>
      </c>
      <c r="E48" t="s">
        <v>599</v>
      </c>
      <c r="F48" t="s">
        <v>592</v>
      </c>
    </row>
    <row r="49" spans="1:6" x14ac:dyDescent="0.35">
      <c r="A49" t="s">
        <v>600</v>
      </c>
      <c r="B49" t="s">
        <v>464</v>
      </c>
      <c r="C49" t="s">
        <v>535</v>
      </c>
      <c r="D49" t="s">
        <v>490</v>
      </c>
      <c r="E49" t="s">
        <v>601</v>
      </c>
      <c r="F49" t="s">
        <v>592</v>
      </c>
    </row>
    <row r="50" spans="1:6" x14ac:dyDescent="0.35">
      <c r="A50" t="s">
        <v>602</v>
      </c>
      <c r="B50" t="s">
        <v>464</v>
      </c>
      <c r="C50" t="s">
        <v>482</v>
      </c>
      <c r="D50" t="s">
        <v>490</v>
      </c>
      <c r="E50" t="s">
        <v>603</v>
      </c>
      <c r="F50" t="s">
        <v>592</v>
      </c>
    </row>
    <row r="51" spans="1:6" x14ac:dyDescent="0.35">
      <c r="A51" t="s">
        <v>604</v>
      </c>
      <c r="B51" t="s">
        <v>464</v>
      </c>
      <c r="C51" t="s">
        <v>570</v>
      </c>
      <c r="D51" t="s">
        <v>490</v>
      </c>
      <c r="E51" t="s">
        <v>605</v>
      </c>
      <c r="F51" t="s">
        <v>592</v>
      </c>
    </row>
    <row r="52" spans="1:6" x14ac:dyDescent="0.35">
      <c r="A52" t="s">
        <v>606</v>
      </c>
      <c r="B52" t="s">
        <v>464</v>
      </c>
      <c r="C52" t="s">
        <v>535</v>
      </c>
      <c r="D52" t="s">
        <v>461</v>
      </c>
      <c r="E52" t="s">
        <v>607</v>
      </c>
      <c r="F52" t="s">
        <v>592</v>
      </c>
    </row>
    <row r="53" spans="1:6" x14ac:dyDescent="0.35">
      <c r="A53" t="s">
        <v>608</v>
      </c>
      <c r="B53" t="s">
        <v>464</v>
      </c>
      <c r="C53" t="s">
        <v>609</v>
      </c>
      <c r="D53" t="s">
        <v>490</v>
      </c>
      <c r="E53" t="s">
        <v>610</v>
      </c>
      <c r="F53" t="s">
        <v>592</v>
      </c>
    </row>
    <row r="54" spans="1:6" x14ac:dyDescent="0.35">
      <c r="A54" t="s">
        <v>611</v>
      </c>
      <c r="B54" t="s">
        <v>464</v>
      </c>
      <c r="C54" t="s">
        <v>482</v>
      </c>
      <c r="D54" t="s">
        <v>490</v>
      </c>
      <c r="E54" t="s">
        <v>612</v>
      </c>
      <c r="F54" t="s">
        <v>592</v>
      </c>
    </row>
    <row r="55" spans="1:6" x14ac:dyDescent="0.35">
      <c r="A55" t="s">
        <v>613</v>
      </c>
      <c r="B55" t="s">
        <v>464</v>
      </c>
      <c r="C55" t="s">
        <v>489</v>
      </c>
      <c r="D55" t="s">
        <v>490</v>
      </c>
      <c r="E55" t="s">
        <v>614</v>
      </c>
      <c r="F55" t="s">
        <v>592</v>
      </c>
    </row>
    <row r="56" spans="1:6" x14ac:dyDescent="0.35">
      <c r="A56" t="s">
        <v>615</v>
      </c>
      <c r="B56" t="s">
        <v>455</v>
      </c>
      <c r="D56" t="s">
        <v>461</v>
      </c>
      <c r="E56" t="s">
        <v>617</v>
      </c>
      <c r="F56" t="s">
        <v>616</v>
      </c>
    </row>
    <row r="57" spans="1:6" x14ac:dyDescent="0.35">
      <c r="A57" t="s">
        <v>618</v>
      </c>
      <c r="B57" t="s">
        <v>455</v>
      </c>
      <c r="D57" t="s">
        <v>461</v>
      </c>
      <c r="E57" t="s">
        <v>619</v>
      </c>
      <c r="F57" t="s">
        <v>616</v>
      </c>
    </row>
    <row r="58" spans="1:6" x14ac:dyDescent="0.35">
      <c r="A58" t="s">
        <v>620</v>
      </c>
      <c r="B58" t="s">
        <v>464</v>
      </c>
      <c r="C58" t="s">
        <v>486</v>
      </c>
      <c r="D58" t="s">
        <v>490</v>
      </c>
      <c r="E58" t="s">
        <v>621</v>
      </c>
      <c r="F58" t="s">
        <v>616</v>
      </c>
    </row>
    <row r="59" spans="1:6" x14ac:dyDescent="0.35">
      <c r="A59" t="s">
        <v>622</v>
      </c>
      <c r="B59" t="s">
        <v>464</v>
      </c>
      <c r="C59" t="s">
        <v>482</v>
      </c>
      <c r="D59" t="s">
        <v>490</v>
      </c>
      <c r="E59" t="s">
        <v>623</v>
      </c>
      <c r="F59" t="s">
        <v>616</v>
      </c>
    </row>
    <row r="60" spans="1:6" x14ac:dyDescent="0.35">
      <c r="A60" t="s">
        <v>624</v>
      </c>
      <c r="B60" t="s">
        <v>464</v>
      </c>
      <c r="C60" t="s">
        <v>570</v>
      </c>
      <c r="D60" t="s">
        <v>490</v>
      </c>
      <c r="E60" t="s">
        <v>625</v>
      </c>
      <c r="F60" t="s">
        <v>616</v>
      </c>
    </row>
    <row r="61" spans="1:6" x14ac:dyDescent="0.35">
      <c r="A61" t="s">
        <v>626</v>
      </c>
      <c r="B61" t="s">
        <v>464</v>
      </c>
      <c r="C61" t="s">
        <v>535</v>
      </c>
      <c r="D61" t="s">
        <v>490</v>
      </c>
      <c r="E61" t="s">
        <v>628</v>
      </c>
      <c r="F61" t="s">
        <v>627</v>
      </c>
    </row>
    <row r="62" spans="1:6" x14ac:dyDescent="0.35">
      <c r="A62" t="s">
        <v>629</v>
      </c>
      <c r="B62" t="s">
        <v>464</v>
      </c>
      <c r="C62" t="s">
        <v>482</v>
      </c>
      <c r="D62" t="s">
        <v>490</v>
      </c>
      <c r="E62" t="s">
        <v>630</v>
      </c>
      <c r="F62" t="s">
        <v>627</v>
      </c>
    </row>
    <row r="63" spans="1:6" x14ac:dyDescent="0.35">
      <c r="A63" t="s">
        <v>631</v>
      </c>
      <c r="B63" t="s">
        <v>455</v>
      </c>
      <c r="C63" t="s">
        <v>500</v>
      </c>
      <c r="E63" t="s">
        <v>633</v>
      </c>
      <c r="F63" t="s">
        <v>632</v>
      </c>
    </row>
    <row r="64" spans="1:6" x14ac:dyDescent="0.35">
      <c r="A64" t="s">
        <v>634</v>
      </c>
      <c r="B64" t="s">
        <v>464</v>
      </c>
      <c r="C64" t="s">
        <v>535</v>
      </c>
      <c r="D64" t="s">
        <v>466</v>
      </c>
      <c r="E64" t="s">
        <v>635</v>
      </c>
      <c r="F64" t="s">
        <v>632</v>
      </c>
    </row>
    <row r="65" spans="1:6" x14ac:dyDescent="0.35">
      <c r="A65" t="s">
        <v>636</v>
      </c>
      <c r="B65" t="s">
        <v>496</v>
      </c>
      <c r="E65" t="s">
        <v>638</v>
      </c>
      <c r="F65" t="s">
        <v>637</v>
      </c>
    </row>
    <row r="66" spans="1:6" x14ac:dyDescent="0.35">
      <c r="A66" t="s">
        <v>639</v>
      </c>
      <c r="B66" t="s">
        <v>455</v>
      </c>
      <c r="D66" t="s">
        <v>461</v>
      </c>
      <c r="E66" t="s">
        <v>640</v>
      </c>
      <c r="F66" t="s">
        <v>637</v>
      </c>
    </row>
    <row r="67" spans="1:6" x14ac:dyDescent="0.35">
      <c r="A67" t="s">
        <v>641</v>
      </c>
      <c r="B67" t="s">
        <v>464</v>
      </c>
      <c r="C67" t="s">
        <v>642</v>
      </c>
      <c r="D67" t="s">
        <v>466</v>
      </c>
      <c r="E67" t="s">
        <v>643</v>
      </c>
      <c r="F67" t="s">
        <v>637</v>
      </c>
    </row>
    <row r="68" spans="1:6" x14ac:dyDescent="0.35">
      <c r="A68" t="s">
        <v>644</v>
      </c>
      <c r="B68" t="s">
        <v>464</v>
      </c>
      <c r="C68" t="s">
        <v>479</v>
      </c>
      <c r="D68" t="s">
        <v>461</v>
      </c>
      <c r="E68" t="s">
        <v>645</v>
      </c>
      <c r="F68" t="s">
        <v>637</v>
      </c>
    </row>
    <row r="69" spans="1:6" x14ac:dyDescent="0.35">
      <c r="A69" t="s">
        <v>646</v>
      </c>
      <c r="B69" t="s">
        <v>464</v>
      </c>
      <c r="C69" t="s">
        <v>647</v>
      </c>
      <c r="D69" t="s">
        <v>466</v>
      </c>
      <c r="E69" t="s">
        <v>648</v>
      </c>
      <c r="F69" t="s">
        <v>637</v>
      </c>
    </row>
    <row r="70" spans="1:6" x14ac:dyDescent="0.35">
      <c r="A70" t="s">
        <v>649</v>
      </c>
      <c r="B70" t="s">
        <v>464</v>
      </c>
      <c r="C70" t="s">
        <v>482</v>
      </c>
      <c r="D70" t="s">
        <v>461</v>
      </c>
      <c r="E70" t="s">
        <v>650</v>
      </c>
      <c r="F70" t="s">
        <v>637</v>
      </c>
    </row>
    <row r="71" spans="1:6" x14ac:dyDescent="0.35">
      <c r="A71" t="s">
        <v>651</v>
      </c>
      <c r="B71" t="s">
        <v>455</v>
      </c>
      <c r="C71" t="s">
        <v>652</v>
      </c>
      <c r="D71" t="s">
        <v>461</v>
      </c>
      <c r="E71" t="s">
        <v>654</v>
      </c>
      <c r="F71" t="s">
        <v>653</v>
      </c>
    </row>
    <row r="72" spans="1:6" x14ac:dyDescent="0.35">
      <c r="A72" t="s">
        <v>655</v>
      </c>
      <c r="B72" t="s">
        <v>455</v>
      </c>
      <c r="C72" t="s">
        <v>500</v>
      </c>
      <c r="E72" t="s">
        <v>656</v>
      </c>
      <c r="F72" t="s">
        <v>653</v>
      </c>
    </row>
    <row r="73" spans="1:6" x14ac:dyDescent="0.35">
      <c r="A73" t="s">
        <v>657</v>
      </c>
      <c r="B73" t="s">
        <v>464</v>
      </c>
      <c r="C73" t="s">
        <v>482</v>
      </c>
      <c r="D73" t="s">
        <v>461</v>
      </c>
      <c r="E73" t="s">
        <v>658</v>
      </c>
      <c r="F73" t="s">
        <v>653</v>
      </c>
    </row>
    <row r="74" spans="1:6" x14ac:dyDescent="0.35">
      <c r="A74" t="s">
        <v>659</v>
      </c>
      <c r="B74" t="s">
        <v>464</v>
      </c>
      <c r="C74" t="s">
        <v>660</v>
      </c>
      <c r="D74" t="s">
        <v>466</v>
      </c>
      <c r="E74" t="s">
        <v>662</v>
      </c>
      <c r="F74" t="s">
        <v>661</v>
      </c>
    </row>
    <row r="75" spans="1:6" x14ac:dyDescent="0.35">
      <c r="A75" t="s">
        <v>663</v>
      </c>
      <c r="B75" t="s">
        <v>464</v>
      </c>
      <c r="C75" t="s">
        <v>486</v>
      </c>
      <c r="D75" t="s">
        <v>466</v>
      </c>
      <c r="E75" t="s">
        <v>665</v>
      </c>
      <c r="F75" t="s">
        <v>664</v>
      </c>
    </row>
    <row r="76" spans="1:6" x14ac:dyDescent="0.35">
      <c r="A76" t="s">
        <v>666</v>
      </c>
      <c r="B76" t="s">
        <v>244</v>
      </c>
      <c r="D76" t="s">
        <v>506</v>
      </c>
      <c r="E76" t="s">
        <v>668</v>
      </c>
      <c r="F76" t="s">
        <v>667</v>
      </c>
    </row>
    <row r="77" spans="1:6" x14ac:dyDescent="0.35">
      <c r="A77" t="s">
        <v>669</v>
      </c>
      <c r="B77" t="s">
        <v>244</v>
      </c>
      <c r="C77" t="s">
        <v>670</v>
      </c>
      <c r="D77" t="s">
        <v>506</v>
      </c>
      <c r="E77" t="s">
        <v>672</v>
      </c>
      <c r="F77" t="s">
        <v>671</v>
      </c>
    </row>
    <row r="78" spans="1:6" x14ac:dyDescent="0.35">
      <c r="A78" t="s">
        <v>673</v>
      </c>
      <c r="B78" t="s">
        <v>464</v>
      </c>
      <c r="C78" t="s">
        <v>674</v>
      </c>
      <c r="D78" t="s">
        <v>461</v>
      </c>
      <c r="E78" t="s">
        <v>676</v>
      </c>
      <c r="F78" t="s">
        <v>675</v>
      </c>
    </row>
    <row r="79" spans="1:6" x14ac:dyDescent="0.35">
      <c r="A79" t="s">
        <v>677</v>
      </c>
      <c r="B79" t="s">
        <v>464</v>
      </c>
      <c r="C79" t="s">
        <v>489</v>
      </c>
      <c r="D79" t="s">
        <v>466</v>
      </c>
      <c r="E79" t="s">
        <v>679</v>
      </c>
      <c r="F79" t="s">
        <v>678</v>
      </c>
    </row>
    <row r="80" spans="1:6" x14ac:dyDescent="0.35">
      <c r="A80" t="s">
        <v>680</v>
      </c>
      <c r="B80" t="s">
        <v>464</v>
      </c>
      <c r="D80" t="s">
        <v>490</v>
      </c>
      <c r="E80" t="s">
        <v>682</v>
      </c>
      <c r="F80" t="s">
        <v>681</v>
      </c>
    </row>
    <row r="81" spans="1:6" x14ac:dyDescent="0.35">
      <c r="A81" t="s">
        <v>683</v>
      </c>
      <c r="B81" t="s">
        <v>464</v>
      </c>
      <c r="C81" t="s">
        <v>482</v>
      </c>
      <c r="D81" t="s">
        <v>490</v>
      </c>
      <c r="E81" t="s">
        <v>685</v>
      </c>
      <c r="F81" t="s">
        <v>684</v>
      </c>
    </row>
    <row r="82" spans="1:6" x14ac:dyDescent="0.35">
      <c r="A82" t="s">
        <v>686</v>
      </c>
      <c r="B82" t="s">
        <v>464</v>
      </c>
      <c r="C82" t="s">
        <v>489</v>
      </c>
      <c r="D82" t="s">
        <v>490</v>
      </c>
      <c r="E82" t="s">
        <v>687</v>
      </c>
      <c r="F82" t="s">
        <v>684</v>
      </c>
    </row>
    <row r="83" spans="1:6" x14ac:dyDescent="0.35">
      <c r="A83" t="s">
        <v>688</v>
      </c>
      <c r="B83" t="s">
        <v>464</v>
      </c>
      <c r="C83" t="s">
        <v>489</v>
      </c>
      <c r="D83" t="s">
        <v>466</v>
      </c>
      <c r="E83" t="s">
        <v>690</v>
      </c>
      <c r="F83" t="s">
        <v>689</v>
      </c>
    </row>
    <row r="84" spans="1:6" x14ac:dyDescent="0.35">
      <c r="A84" t="s">
        <v>691</v>
      </c>
      <c r="B84" t="s">
        <v>464</v>
      </c>
      <c r="C84" t="s">
        <v>652</v>
      </c>
      <c r="D84" t="s">
        <v>461</v>
      </c>
      <c r="E84" t="s">
        <v>692</v>
      </c>
      <c r="F84" t="s">
        <v>689</v>
      </c>
    </row>
    <row r="85" spans="1:6" x14ac:dyDescent="0.35">
      <c r="A85" t="s">
        <v>693</v>
      </c>
      <c r="B85" t="s">
        <v>464</v>
      </c>
      <c r="C85" t="s">
        <v>479</v>
      </c>
      <c r="D85" t="s">
        <v>490</v>
      </c>
      <c r="E85" t="s">
        <v>694</v>
      </c>
      <c r="F85" t="s">
        <v>689</v>
      </c>
    </row>
    <row r="86" spans="1:6" x14ac:dyDescent="0.35">
      <c r="A86" t="s">
        <v>695</v>
      </c>
      <c r="B86" t="s">
        <v>496</v>
      </c>
      <c r="E86" t="s">
        <v>696</v>
      </c>
    </row>
    <row r="87" spans="1:6" x14ac:dyDescent="0.35">
      <c r="A87" t="s">
        <v>697</v>
      </c>
      <c r="B87" t="s">
        <v>496</v>
      </c>
      <c r="C87" t="s">
        <v>456</v>
      </c>
      <c r="E87" t="s">
        <v>698</v>
      </c>
    </row>
    <row r="88" spans="1:6" x14ac:dyDescent="0.35">
      <c r="A88" t="s">
        <v>699</v>
      </c>
      <c r="B88" t="s">
        <v>244</v>
      </c>
      <c r="D88" t="s">
        <v>461</v>
      </c>
      <c r="E88" t="s">
        <v>700</v>
      </c>
    </row>
    <row r="89" spans="1:6" x14ac:dyDescent="0.35">
      <c r="A89" t="s">
        <v>701</v>
      </c>
      <c r="B89" t="s">
        <v>455</v>
      </c>
      <c r="C89" t="s">
        <v>37</v>
      </c>
      <c r="D89" t="s">
        <v>466</v>
      </c>
      <c r="E89" t="s">
        <v>702</v>
      </c>
    </row>
    <row r="90" spans="1:6" x14ac:dyDescent="0.35">
      <c r="A90" t="s">
        <v>703</v>
      </c>
      <c r="B90" t="s">
        <v>455</v>
      </c>
      <c r="C90" t="s">
        <v>456</v>
      </c>
      <c r="D90" t="s">
        <v>475</v>
      </c>
      <c r="E90" t="s">
        <v>704</v>
      </c>
    </row>
    <row r="91" spans="1:6" x14ac:dyDescent="0.35">
      <c r="A91" t="s">
        <v>705</v>
      </c>
      <c r="B91" t="s">
        <v>455</v>
      </c>
      <c r="C91" t="s">
        <v>500</v>
      </c>
      <c r="E91" t="s">
        <v>706</v>
      </c>
    </row>
    <row r="92" spans="1:6" x14ac:dyDescent="0.35">
      <c r="A92" t="s">
        <v>707</v>
      </c>
      <c r="B92" t="s">
        <v>460</v>
      </c>
      <c r="C92" t="s">
        <v>500</v>
      </c>
      <c r="E92" t="s">
        <v>708</v>
      </c>
    </row>
    <row r="93" spans="1:6" x14ac:dyDescent="0.35">
      <c r="A93" t="s">
        <v>709</v>
      </c>
      <c r="B93" t="s">
        <v>460</v>
      </c>
      <c r="C93" t="s">
        <v>500</v>
      </c>
      <c r="E93" t="s">
        <v>710</v>
      </c>
    </row>
    <row r="94" spans="1:6" x14ac:dyDescent="0.35">
      <c r="A94" t="s">
        <v>711</v>
      </c>
      <c r="B94" t="s">
        <v>460</v>
      </c>
      <c r="C94" t="s">
        <v>500</v>
      </c>
      <c r="E94" t="s">
        <v>712</v>
      </c>
    </row>
    <row r="95" spans="1:6" x14ac:dyDescent="0.35">
      <c r="A95" t="s">
        <v>713</v>
      </c>
      <c r="B95" t="s">
        <v>460</v>
      </c>
      <c r="C95" t="s">
        <v>500</v>
      </c>
      <c r="E95" t="s">
        <v>714</v>
      </c>
    </row>
    <row r="96" spans="1:6" x14ac:dyDescent="0.35">
      <c r="A96" t="s">
        <v>715</v>
      </c>
      <c r="B96" t="s">
        <v>460</v>
      </c>
      <c r="C96" t="s">
        <v>500</v>
      </c>
      <c r="E96" t="s">
        <v>716</v>
      </c>
    </row>
    <row r="97" spans="1:5" x14ac:dyDescent="0.35">
      <c r="A97" t="s">
        <v>717</v>
      </c>
      <c r="B97" t="s">
        <v>460</v>
      </c>
      <c r="C97" t="s">
        <v>500</v>
      </c>
      <c r="E97" t="s">
        <v>718</v>
      </c>
    </row>
    <row r="98" spans="1:5" x14ac:dyDescent="0.35">
      <c r="A98" t="s">
        <v>719</v>
      </c>
      <c r="B98" t="s">
        <v>460</v>
      </c>
      <c r="C98" t="s">
        <v>500</v>
      </c>
      <c r="E98" t="s">
        <v>720</v>
      </c>
    </row>
    <row r="99" spans="1:5" x14ac:dyDescent="0.35">
      <c r="A99" t="s">
        <v>721</v>
      </c>
      <c r="B99" t="s">
        <v>464</v>
      </c>
      <c r="C99" t="s">
        <v>559</v>
      </c>
      <c r="D99" t="s">
        <v>466</v>
      </c>
      <c r="E99" t="s">
        <v>722</v>
      </c>
    </row>
    <row r="100" spans="1:5" x14ac:dyDescent="0.35">
      <c r="A100" t="s">
        <v>723</v>
      </c>
      <c r="B100" t="s">
        <v>464</v>
      </c>
      <c r="C100" t="s">
        <v>642</v>
      </c>
      <c r="D100" t="s">
        <v>466</v>
      </c>
      <c r="E100" t="s">
        <v>724</v>
      </c>
    </row>
    <row r="101" spans="1:5" x14ac:dyDescent="0.35">
      <c r="A101" t="s">
        <v>725</v>
      </c>
      <c r="B101" t="s">
        <v>464</v>
      </c>
      <c r="C101" t="s">
        <v>482</v>
      </c>
      <c r="D101" t="s">
        <v>466</v>
      </c>
      <c r="E101" t="s">
        <v>726</v>
      </c>
    </row>
    <row r="102" spans="1:5" x14ac:dyDescent="0.35">
      <c r="A102" t="s">
        <v>727</v>
      </c>
      <c r="B102" t="s">
        <v>464</v>
      </c>
      <c r="C102" t="s">
        <v>489</v>
      </c>
      <c r="D102" t="s">
        <v>466</v>
      </c>
      <c r="E102" t="s">
        <v>728</v>
      </c>
    </row>
    <row r="103" spans="1:5" x14ac:dyDescent="0.35">
      <c r="A103" t="s">
        <v>729</v>
      </c>
      <c r="B103" t="s">
        <v>464</v>
      </c>
      <c r="C103" t="s">
        <v>730</v>
      </c>
      <c r="D103" t="s">
        <v>466</v>
      </c>
      <c r="E103" t="s">
        <v>731</v>
      </c>
    </row>
    <row r="104" spans="1:5" x14ac:dyDescent="0.35">
      <c r="A104" t="s">
        <v>732</v>
      </c>
      <c r="B104" t="s">
        <v>464</v>
      </c>
      <c r="C104" t="s">
        <v>489</v>
      </c>
      <c r="D104" t="s">
        <v>466</v>
      </c>
      <c r="E104" t="s">
        <v>733</v>
      </c>
    </row>
    <row r="105" spans="1:5" x14ac:dyDescent="0.35">
      <c r="A105" t="s">
        <v>734</v>
      </c>
      <c r="B105" t="s">
        <v>464</v>
      </c>
      <c r="C105" t="s">
        <v>486</v>
      </c>
      <c r="D105" t="s">
        <v>461</v>
      </c>
      <c r="E105" t="s">
        <v>735</v>
      </c>
    </row>
    <row r="106" spans="1:5" x14ac:dyDescent="0.35">
      <c r="A106" t="s">
        <v>736</v>
      </c>
      <c r="B106" t="s">
        <v>464</v>
      </c>
      <c r="C106" t="s">
        <v>482</v>
      </c>
      <c r="D106" t="s">
        <v>461</v>
      </c>
      <c r="E106" t="s">
        <v>737</v>
      </c>
    </row>
    <row r="107" spans="1:5" x14ac:dyDescent="0.35">
      <c r="A107" t="s">
        <v>738</v>
      </c>
      <c r="B107" t="s">
        <v>464</v>
      </c>
      <c r="C107" t="s">
        <v>515</v>
      </c>
      <c r="D107" t="s">
        <v>461</v>
      </c>
      <c r="E107" t="s">
        <v>739</v>
      </c>
    </row>
    <row r="108" spans="1:5" x14ac:dyDescent="0.35">
      <c r="A108" t="s">
        <v>740</v>
      </c>
      <c r="B108" t="s">
        <v>464</v>
      </c>
      <c r="C108" t="s">
        <v>741</v>
      </c>
      <c r="D108" t="s">
        <v>490</v>
      </c>
      <c r="E108" t="s">
        <v>742</v>
      </c>
    </row>
    <row r="109" spans="1:5" x14ac:dyDescent="0.35">
      <c r="A109" t="s">
        <v>743</v>
      </c>
      <c r="B109" t="s">
        <v>464</v>
      </c>
      <c r="C109" t="s">
        <v>642</v>
      </c>
      <c r="D109" t="s">
        <v>461</v>
      </c>
      <c r="E109" t="s">
        <v>744</v>
      </c>
    </row>
    <row r="110" spans="1:5" x14ac:dyDescent="0.35">
      <c r="A110" t="s">
        <v>745</v>
      </c>
      <c r="B110" t="s">
        <v>464</v>
      </c>
      <c r="C110" t="s">
        <v>746</v>
      </c>
      <c r="D110" t="s">
        <v>466</v>
      </c>
      <c r="E110" t="s">
        <v>747</v>
      </c>
    </row>
    <row r="111" spans="1:5" x14ac:dyDescent="0.35">
      <c r="A111" t="s">
        <v>748</v>
      </c>
      <c r="B111" t="s">
        <v>464</v>
      </c>
      <c r="C111" t="s">
        <v>482</v>
      </c>
      <c r="D111" t="s">
        <v>461</v>
      </c>
      <c r="E111" t="s">
        <v>749</v>
      </c>
    </row>
    <row r="112" spans="1:5" x14ac:dyDescent="0.35">
      <c r="A112" t="s">
        <v>750</v>
      </c>
      <c r="B112" t="s">
        <v>464</v>
      </c>
      <c r="C112" t="s">
        <v>535</v>
      </c>
      <c r="D112" t="s">
        <v>461</v>
      </c>
      <c r="E112" t="s">
        <v>751</v>
      </c>
    </row>
    <row r="113" spans="1:6" x14ac:dyDescent="0.35">
      <c r="A113" t="s">
        <v>752</v>
      </c>
      <c r="B113" t="s">
        <v>464</v>
      </c>
      <c r="C113" t="s">
        <v>642</v>
      </c>
      <c r="D113" t="s">
        <v>466</v>
      </c>
      <c r="E113" t="s">
        <v>753</v>
      </c>
    </row>
    <row r="114" spans="1:6" x14ac:dyDescent="0.35">
      <c r="A114" t="s">
        <v>754</v>
      </c>
      <c r="B114" t="s">
        <v>464</v>
      </c>
      <c r="C114" t="s">
        <v>535</v>
      </c>
      <c r="D114" t="s">
        <v>466</v>
      </c>
      <c r="E114" t="s">
        <v>755</v>
      </c>
    </row>
    <row r="115" spans="1:6" x14ac:dyDescent="0.35">
      <c r="A115" t="s">
        <v>756</v>
      </c>
      <c r="B115" t="s">
        <v>464</v>
      </c>
      <c r="C115" t="s">
        <v>482</v>
      </c>
      <c r="D115" t="s">
        <v>466</v>
      </c>
      <c r="E115" t="s">
        <v>757</v>
      </c>
    </row>
    <row r="116" spans="1:6" x14ac:dyDescent="0.35">
      <c r="A116" t="s">
        <v>758</v>
      </c>
      <c r="B116" t="s">
        <v>464</v>
      </c>
      <c r="C116" t="s">
        <v>759</v>
      </c>
      <c r="D116" t="s">
        <v>466</v>
      </c>
      <c r="E116" t="s">
        <v>760</v>
      </c>
    </row>
    <row r="117" spans="1:6" x14ac:dyDescent="0.35">
      <c r="A117" t="s">
        <v>761</v>
      </c>
      <c r="B117" t="s">
        <v>464</v>
      </c>
      <c r="C117" t="s">
        <v>482</v>
      </c>
      <c r="D117" t="s">
        <v>466</v>
      </c>
      <c r="E117" t="s">
        <v>762</v>
      </c>
    </row>
    <row r="118" spans="1:6" x14ac:dyDescent="0.35">
      <c r="A118" t="s">
        <v>763</v>
      </c>
      <c r="B118" t="s">
        <v>464</v>
      </c>
      <c r="C118" t="s">
        <v>764</v>
      </c>
      <c r="D118" t="s">
        <v>466</v>
      </c>
      <c r="E118" t="s">
        <v>765</v>
      </c>
    </row>
    <row r="119" spans="1:6" x14ac:dyDescent="0.35">
      <c r="A119" t="s">
        <v>766</v>
      </c>
      <c r="B119" t="s">
        <v>464</v>
      </c>
      <c r="C119" t="s">
        <v>767</v>
      </c>
      <c r="D119" t="s">
        <v>466</v>
      </c>
      <c r="E119" t="s">
        <v>768</v>
      </c>
    </row>
    <row r="120" spans="1:6" x14ac:dyDescent="0.35">
      <c r="A120" t="s">
        <v>769</v>
      </c>
      <c r="B120" t="s">
        <v>464</v>
      </c>
      <c r="C120" t="s">
        <v>535</v>
      </c>
      <c r="D120" t="s">
        <v>466</v>
      </c>
      <c r="E120" t="s">
        <v>770</v>
      </c>
    </row>
    <row r="121" spans="1:6" x14ac:dyDescent="0.35">
      <c r="A121" t="s">
        <v>771</v>
      </c>
      <c r="B121" t="s">
        <v>464</v>
      </c>
      <c r="C121" t="s">
        <v>482</v>
      </c>
      <c r="D121" t="s">
        <v>461</v>
      </c>
      <c r="E121" t="s">
        <v>772</v>
      </c>
    </row>
    <row r="122" spans="1:6" x14ac:dyDescent="0.35">
      <c r="A122" t="s">
        <v>773</v>
      </c>
      <c r="B122" t="s">
        <v>464</v>
      </c>
      <c r="C122" t="s">
        <v>482</v>
      </c>
      <c r="D122" t="s">
        <v>466</v>
      </c>
      <c r="E122" t="s">
        <v>774</v>
      </c>
    </row>
    <row r="123" spans="1:6" x14ac:dyDescent="0.35">
      <c r="A123" t="s">
        <v>775</v>
      </c>
      <c r="B123" t="s">
        <v>464</v>
      </c>
      <c r="C123" t="s">
        <v>535</v>
      </c>
      <c r="D123" t="s">
        <v>466</v>
      </c>
      <c r="E123" t="s">
        <v>776</v>
      </c>
    </row>
    <row r="124" spans="1:6" x14ac:dyDescent="0.35">
      <c r="A124" t="s">
        <v>777</v>
      </c>
      <c r="B124" t="s">
        <v>464</v>
      </c>
      <c r="C124" t="s">
        <v>486</v>
      </c>
      <c r="D124" t="s">
        <v>466</v>
      </c>
      <c r="E124" t="s">
        <v>778</v>
      </c>
    </row>
    <row r="125" spans="1:6" x14ac:dyDescent="0.35">
      <c r="A125" t="s">
        <v>779</v>
      </c>
      <c r="B125" t="s">
        <v>464</v>
      </c>
      <c r="C125" t="s">
        <v>652</v>
      </c>
      <c r="D125" t="s">
        <v>490</v>
      </c>
      <c r="E125" t="s">
        <v>780</v>
      </c>
    </row>
    <row r="126" spans="1:6" x14ac:dyDescent="0.35">
      <c r="A126" t="s">
        <v>781</v>
      </c>
      <c r="B126" t="s">
        <v>464</v>
      </c>
      <c r="C126" t="s">
        <v>482</v>
      </c>
      <c r="D126" t="s">
        <v>466</v>
      </c>
      <c r="E126" t="s">
        <v>782</v>
      </c>
    </row>
    <row r="127" spans="1:6" x14ac:dyDescent="0.35">
      <c r="A127" t="s">
        <v>783</v>
      </c>
      <c r="B127" t="s">
        <v>464</v>
      </c>
      <c r="C127" t="s">
        <v>482</v>
      </c>
      <c r="D127" t="s">
        <v>466</v>
      </c>
      <c r="E127" t="s">
        <v>784</v>
      </c>
    </row>
    <row r="128" spans="1:6" x14ac:dyDescent="0.35">
      <c r="A128" t="s">
        <v>785</v>
      </c>
      <c r="B128" t="s">
        <v>464</v>
      </c>
      <c r="C128" t="s">
        <v>479</v>
      </c>
      <c r="D128" t="s">
        <v>466</v>
      </c>
      <c r="E128" t="s">
        <v>787</v>
      </c>
      <c r="F128" t="s">
        <v>786</v>
      </c>
    </row>
    <row r="129" spans="1:6" x14ac:dyDescent="0.35">
      <c r="A129" t="s">
        <v>788</v>
      </c>
      <c r="B129" t="s">
        <v>455</v>
      </c>
      <c r="E129" t="s">
        <v>790</v>
      </c>
      <c r="F129" t="s">
        <v>789</v>
      </c>
    </row>
    <row r="130" spans="1:6" x14ac:dyDescent="0.35">
      <c r="E130"/>
    </row>
    <row r="131" spans="1:6" x14ac:dyDescent="0.35">
      <c r="E131"/>
    </row>
    <row r="132" spans="1:6" x14ac:dyDescent="0.35">
      <c r="E132"/>
    </row>
    <row r="133" spans="1:6" x14ac:dyDescent="0.35">
      <c r="E133"/>
    </row>
    <row r="134" spans="1:6" x14ac:dyDescent="0.35">
      <c r="E134"/>
    </row>
    <row r="135" spans="1:6" x14ac:dyDescent="0.35">
      <c r="E135"/>
    </row>
    <row r="136" spans="1:6" x14ac:dyDescent="0.35">
      <c r="E136"/>
    </row>
    <row r="137" spans="1:6" x14ac:dyDescent="0.35">
      <c r="E137"/>
    </row>
    <row r="138" spans="1:6" x14ac:dyDescent="0.35">
      <c r="E138"/>
    </row>
    <row r="139" spans="1:6" x14ac:dyDescent="0.35">
      <c r="E139"/>
    </row>
    <row r="140" spans="1:6" x14ac:dyDescent="0.35">
      <c r="E140"/>
    </row>
    <row r="141" spans="1:6" x14ac:dyDescent="0.35">
      <c r="E141"/>
    </row>
    <row r="142" spans="1:6" x14ac:dyDescent="0.35">
      <c r="E142"/>
    </row>
    <row r="143" spans="1:6" x14ac:dyDescent="0.35">
      <c r="E143"/>
    </row>
    <row r="144" spans="1:6" x14ac:dyDescent="0.35">
      <c r="E144"/>
    </row>
    <row r="145" spans="5:5" x14ac:dyDescent="0.35">
      <c r="E145"/>
    </row>
    <row r="146" spans="5:5" x14ac:dyDescent="0.35">
      <c r="E146"/>
    </row>
    <row r="147" spans="5:5" x14ac:dyDescent="0.35">
      <c r="E147"/>
    </row>
    <row r="148" spans="5:5" x14ac:dyDescent="0.35">
      <c r="E148"/>
    </row>
    <row r="149" spans="5:5" x14ac:dyDescent="0.35">
      <c r="E149"/>
    </row>
    <row r="150" spans="5:5" x14ac:dyDescent="0.35">
      <c r="E150"/>
    </row>
    <row r="151" spans="5:5" x14ac:dyDescent="0.35">
      <c r="E151"/>
    </row>
    <row r="152" spans="5:5" x14ac:dyDescent="0.35">
      <c r="E152"/>
    </row>
    <row r="153" spans="5:5" x14ac:dyDescent="0.35">
      <c r="E153"/>
    </row>
    <row r="154" spans="5:5" x14ac:dyDescent="0.35">
      <c r="E154"/>
    </row>
    <row r="155" spans="5:5" x14ac:dyDescent="0.35">
      <c r="E155"/>
    </row>
    <row r="156" spans="5:5" x14ac:dyDescent="0.35">
      <c r="E156"/>
    </row>
    <row r="157" spans="5:5" x14ac:dyDescent="0.35">
      <c r="E157"/>
    </row>
    <row r="158" spans="5:5" x14ac:dyDescent="0.35">
      <c r="E158"/>
    </row>
    <row r="159" spans="5:5" x14ac:dyDescent="0.35">
      <c r="E159"/>
    </row>
    <row r="160" spans="5:5" x14ac:dyDescent="0.35">
      <c r="E160"/>
    </row>
    <row r="161" spans="5:5" x14ac:dyDescent="0.35">
      <c r="E161"/>
    </row>
    <row r="162" spans="5:5" x14ac:dyDescent="0.35">
      <c r="E162"/>
    </row>
    <row r="163" spans="5:5" x14ac:dyDescent="0.35">
      <c r="E163"/>
    </row>
    <row r="164" spans="5:5" x14ac:dyDescent="0.35">
      <c r="E164"/>
    </row>
    <row r="165" spans="5:5" x14ac:dyDescent="0.35">
      <c r="E165"/>
    </row>
    <row r="166" spans="5:5" x14ac:dyDescent="0.35">
      <c r="E166"/>
    </row>
    <row r="167" spans="5:5" x14ac:dyDescent="0.35">
      <c r="E167"/>
    </row>
    <row r="168" spans="5:5" x14ac:dyDescent="0.35">
      <c r="E168"/>
    </row>
    <row r="169" spans="5:5" x14ac:dyDescent="0.35">
      <c r="E169"/>
    </row>
    <row r="170" spans="5:5" x14ac:dyDescent="0.35">
      <c r="E170"/>
    </row>
    <row r="171" spans="5:5" x14ac:dyDescent="0.35">
      <c r="E171"/>
    </row>
    <row r="172" spans="5:5" x14ac:dyDescent="0.35">
      <c r="E172"/>
    </row>
    <row r="173" spans="5:5" x14ac:dyDescent="0.35">
      <c r="E173"/>
    </row>
  </sheetData>
  <autoFilter ref="A1:F129" xr:uid="{29E0B2C6-B4CA-4619-90D1-8872975B955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68AC-61C2-405B-8C82-540C68A00436}">
  <dimension ref="A1:F30"/>
  <sheetViews>
    <sheetView tabSelected="1" topLeftCell="A18" workbookViewId="0">
      <selection activeCell="E18" sqref="E18"/>
    </sheetView>
  </sheetViews>
  <sheetFormatPr defaultRowHeight="14.5" x14ac:dyDescent="0.35"/>
  <cols>
    <col min="1" max="1" width="14.26953125" customWidth="1"/>
    <col min="2" max="2" width="16.7265625" customWidth="1"/>
    <col min="3" max="3" width="16.453125" customWidth="1"/>
    <col min="4" max="4" width="4.90625" customWidth="1"/>
    <col min="5" max="5" width="115.453125" customWidth="1"/>
    <col min="6" max="6" width="65.36328125" customWidth="1"/>
    <col min="7" max="10" width="5.81640625" customWidth="1"/>
  </cols>
  <sheetData>
    <row r="1" spans="1:6" x14ac:dyDescent="0.35">
      <c r="A1" s="1" t="s">
        <v>4</v>
      </c>
      <c r="B1" s="1" t="s">
        <v>1</v>
      </c>
      <c r="C1" s="1" t="s">
        <v>840</v>
      </c>
      <c r="D1" s="1" t="s">
        <v>841</v>
      </c>
      <c r="E1" s="1" t="s">
        <v>0</v>
      </c>
    </row>
    <row r="2" spans="1:6" ht="101.5" x14ac:dyDescent="0.35">
      <c r="A2" s="1" t="s">
        <v>454</v>
      </c>
      <c r="B2" s="1" t="s">
        <v>842</v>
      </c>
      <c r="C2" s="1" t="s">
        <v>796</v>
      </c>
      <c r="D2" s="1"/>
      <c r="E2" s="1" t="s">
        <v>458</v>
      </c>
      <c r="F2" s="1" t="s">
        <v>847</v>
      </c>
    </row>
    <row r="3" spans="1:6" ht="116" x14ac:dyDescent="0.35">
      <c r="A3" s="1" t="s">
        <v>459</v>
      </c>
      <c r="B3" s="1" t="s">
        <v>843</v>
      </c>
      <c r="C3" s="1" t="s">
        <v>796</v>
      </c>
      <c r="D3" s="1" t="s">
        <v>461</v>
      </c>
      <c r="E3" s="1" t="s">
        <v>462</v>
      </c>
      <c r="F3" s="1" t="s">
        <v>848</v>
      </c>
    </row>
    <row r="4" spans="1:6" ht="290" x14ac:dyDescent="0.35">
      <c r="A4" s="1" t="s">
        <v>463</v>
      </c>
      <c r="B4" s="1" t="s">
        <v>844</v>
      </c>
      <c r="C4" s="1" t="s">
        <v>797</v>
      </c>
      <c r="D4" s="1" t="s">
        <v>466</v>
      </c>
      <c r="E4" s="1" t="s">
        <v>467</v>
      </c>
      <c r="F4" s="1" t="s">
        <v>849</v>
      </c>
    </row>
    <row r="5" spans="1:6" ht="116" x14ac:dyDescent="0.35">
      <c r="A5" s="1" t="s">
        <v>468</v>
      </c>
      <c r="B5" s="1" t="s">
        <v>844</v>
      </c>
      <c r="C5" s="1" t="s">
        <v>797</v>
      </c>
      <c r="D5" s="1" t="s">
        <v>466</v>
      </c>
      <c r="E5" s="1" t="s">
        <v>793</v>
      </c>
      <c r="F5" s="1" t="s">
        <v>850</v>
      </c>
    </row>
    <row r="6" spans="1:6" ht="304.5" x14ac:dyDescent="0.35">
      <c r="A6" s="1" t="s">
        <v>669</v>
      </c>
      <c r="B6" s="1" t="s">
        <v>845</v>
      </c>
      <c r="C6" s="1" t="s">
        <v>796</v>
      </c>
      <c r="D6" s="1" t="s">
        <v>506</v>
      </c>
      <c r="E6" s="1" t="s">
        <v>792</v>
      </c>
      <c r="F6" s="1" t="s">
        <v>851</v>
      </c>
    </row>
    <row r="7" spans="1:6" ht="130.5" x14ac:dyDescent="0.35">
      <c r="A7" s="1" t="s">
        <v>697</v>
      </c>
      <c r="B7" s="1" t="s">
        <v>846</v>
      </c>
      <c r="C7" s="1" t="s">
        <v>796</v>
      </c>
      <c r="D7" s="1"/>
      <c r="E7" s="1" t="s">
        <v>698</v>
      </c>
      <c r="F7" s="1" t="s">
        <v>852</v>
      </c>
    </row>
    <row r="8" spans="1:6" ht="101.5" x14ac:dyDescent="0.35">
      <c r="A8" s="1" t="s">
        <v>703</v>
      </c>
      <c r="B8" s="1" t="s">
        <v>842</v>
      </c>
      <c r="C8" s="1" t="s">
        <v>796</v>
      </c>
      <c r="D8" s="1" t="s">
        <v>475</v>
      </c>
      <c r="E8" s="1" t="s">
        <v>704</v>
      </c>
      <c r="F8" s="1" t="s">
        <v>853</v>
      </c>
    </row>
    <row r="9" spans="1:6" ht="145" x14ac:dyDescent="0.35">
      <c r="A9" s="1" t="s">
        <v>740</v>
      </c>
      <c r="B9" s="1" t="s">
        <v>844</v>
      </c>
      <c r="C9" s="1" t="s">
        <v>798</v>
      </c>
      <c r="D9" s="1" t="s">
        <v>490</v>
      </c>
      <c r="E9" s="1" t="s">
        <v>742</v>
      </c>
      <c r="F9" s="1" t="s">
        <v>854</v>
      </c>
    </row>
    <row r="10" spans="1:6" ht="101.5" x14ac:dyDescent="0.35">
      <c r="A10" s="1" t="s">
        <v>758</v>
      </c>
      <c r="B10" s="1" t="s">
        <v>844</v>
      </c>
      <c r="C10" s="1" t="s">
        <v>798</v>
      </c>
      <c r="D10" s="1" t="s">
        <v>466</v>
      </c>
      <c r="E10" s="1" t="s">
        <v>760</v>
      </c>
      <c r="F10" s="1" t="s">
        <v>855</v>
      </c>
    </row>
    <row r="11" spans="1:6" ht="101.5" x14ac:dyDescent="0.35">
      <c r="A11" s="1" t="s">
        <v>766</v>
      </c>
      <c r="B11" s="1" t="s">
        <v>844</v>
      </c>
      <c r="C11" s="1" t="s">
        <v>799</v>
      </c>
      <c r="D11" s="1" t="s">
        <v>466</v>
      </c>
      <c r="E11" s="1" t="s">
        <v>768</v>
      </c>
      <c r="F11" s="1" t="s">
        <v>856</v>
      </c>
    </row>
    <row r="12" spans="1:6" ht="87" x14ac:dyDescent="0.35">
      <c r="A12" s="1" t="s">
        <v>794</v>
      </c>
      <c r="B12" s="1" t="s">
        <v>795</v>
      </c>
      <c r="C12" s="1"/>
      <c r="D12" s="1" t="s">
        <v>475</v>
      </c>
      <c r="E12" s="1" t="s">
        <v>800</v>
      </c>
      <c r="F12" s="1" t="s">
        <v>857</v>
      </c>
    </row>
    <row r="13" spans="1:6" ht="87" x14ac:dyDescent="0.35">
      <c r="A13" s="1" t="s">
        <v>794</v>
      </c>
      <c r="B13" s="1" t="s">
        <v>795</v>
      </c>
      <c r="C13" s="1"/>
      <c r="D13" s="1" t="s">
        <v>466</v>
      </c>
      <c r="E13" s="1" t="s">
        <v>803</v>
      </c>
      <c r="F13" s="1" t="s">
        <v>858</v>
      </c>
    </row>
    <row r="14" spans="1:6" ht="87" x14ac:dyDescent="0.35">
      <c r="A14" s="1" t="s">
        <v>794</v>
      </c>
      <c r="B14" s="1" t="s">
        <v>795</v>
      </c>
      <c r="C14" s="1"/>
      <c r="D14" s="1" t="s">
        <v>461</v>
      </c>
      <c r="E14" s="1" t="s">
        <v>804</v>
      </c>
      <c r="F14" s="1" t="s">
        <v>859</v>
      </c>
    </row>
    <row r="15" spans="1:6" ht="87" x14ac:dyDescent="0.35">
      <c r="A15" s="1" t="s">
        <v>794</v>
      </c>
      <c r="B15" s="1" t="s">
        <v>795</v>
      </c>
      <c r="C15" s="1"/>
      <c r="D15" s="1" t="s">
        <v>490</v>
      </c>
      <c r="E15" s="1" t="s">
        <v>801</v>
      </c>
      <c r="F15" s="1" t="s">
        <v>860</v>
      </c>
    </row>
    <row r="16" spans="1:6" ht="101.5" x14ac:dyDescent="0.35">
      <c r="A16" s="1" t="s">
        <v>794</v>
      </c>
      <c r="B16" s="1" t="s">
        <v>795</v>
      </c>
      <c r="C16" s="1"/>
      <c r="D16" s="1" t="s">
        <v>506</v>
      </c>
      <c r="E16" s="1" t="s">
        <v>802</v>
      </c>
      <c r="F16" s="1" t="s">
        <v>861</v>
      </c>
    </row>
    <row r="17" spans="1:6" ht="290" x14ac:dyDescent="0.35">
      <c r="A17" s="1" t="s">
        <v>244</v>
      </c>
      <c r="B17" s="1" t="s">
        <v>845</v>
      </c>
      <c r="C17" s="1"/>
      <c r="D17" s="1" t="s">
        <v>791</v>
      </c>
      <c r="E17" s="1" t="s">
        <v>809</v>
      </c>
      <c r="F17" s="1" t="s">
        <v>862</v>
      </c>
    </row>
    <row r="18" spans="1:6" ht="333.5" x14ac:dyDescent="0.35">
      <c r="A18" s="1" t="s">
        <v>244</v>
      </c>
      <c r="B18" s="1" t="s">
        <v>845</v>
      </c>
      <c r="C18" s="1"/>
      <c r="D18" s="1" t="s">
        <v>475</v>
      </c>
      <c r="E18" s="1" t="s">
        <v>808</v>
      </c>
      <c r="F18" s="1" t="s">
        <v>863</v>
      </c>
    </row>
    <row r="19" spans="1:6" ht="333.5" x14ac:dyDescent="0.35">
      <c r="A19" s="1" t="s">
        <v>244</v>
      </c>
      <c r="B19" s="1" t="s">
        <v>845</v>
      </c>
      <c r="C19" s="1"/>
      <c r="D19" s="1" t="s">
        <v>466</v>
      </c>
      <c r="E19" s="1" t="s">
        <v>807</v>
      </c>
      <c r="F19" s="1" t="s">
        <v>864</v>
      </c>
    </row>
    <row r="20" spans="1:6" ht="319" x14ac:dyDescent="0.35">
      <c r="A20" s="1" t="s">
        <v>244</v>
      </c>
      <c r="B20" s="1" t="s">
        <v>845</v>
      </c>
      <c r="C20" s="1"/>
      <c r="D20" s="1" t="s">
        <v>461</v>
      </c>
      <c r="E20" s="1" t="s">
        <v>806</v>
      </c>
      <c r="F20" s="1" t="s">
        <v>865</v>
      </c>
    </row>
    <row r="21" spans="1:6" ht="203" x14ac:dyDescent="0.35">
      <c r="A21" s="1" t="s">
        <v>244</v>
      </c>
      <c r="B21" s="1" t="s">
        <v>845</v>
      </c>
      <c r="C21" s="1"/>
      <c r="D21" s="1" t="s">
        <v>490</v>
      </c>
      <c r="E21" s="1" t="s">
        <v>805</v>
      </c>
      <c r="F21" s="1" t="s">
        <v>866</v>
      </c>
    </row>
    <row r="22" spans="1:6" ht="87" x14ac:dyDescent="0.35">
      <c r="A22" s="1" t="s">
        <v>244</v>
      </c>
      <c r="B22" s="1" t="s">
        <v>845</v>
      </c>
      <c r="C22" s="1"/>
      <c r="D22" s="1" t="s">
        <v>506</v>
      </c>
      <c r="E22" s="1" t="s">
        <v>681</v>
      </c>
      <c r="F22" s="1" t="s">
        <v>867</v>
      </c>
    </row>
    <row r="23" spans="1:6" ht="101.5" x14ac:dyDescent="0.35">
      <c r="A23" s="1" t="s">
        <v>810</v>
      </c>
      <c r="B23" s="1" t="s">
        <v>842</v>
      </c>
      <c r="C23" s="1"/>
      <c r="D23" s="1" t="s">
        <v>791</v>
      </c>
      <c r="E23" s="1" t="s">
        <v>811</v>
      </c>
      <c r="F23" s="1" t="s">
        <v>868</v>
      </c>
    </row>
    <row r="24" spans="1:6" ht="101.5" x14ac:dyDescent="0.35">
      <c r="A24" s="1" t="s">
        <v>810</v>
      </c>
      <c r="B24" s="1" t="s">
        <v>842</v>
      </c>
      <c r="C24" s="1"/>
      <c r="D24" s="1" t="s">
        <v>475</v>
      </c>
      <c r="E24" s="1" t="s">
        <v>812</v>
      </c>
      <c r="F24" s="1" t="s">
        <v>869</v>
      </c>
    </row>
    <row r="25" spans="1:6" ht="101.5" x14ac:dyDescent="0.35">
      <c r="A25" s="1" t="s">
        <v>810</v>
      </c>
      <c r="B25" s="1" t="s">
        <v>842</v>
      </c>
      <c r="C25" s="1"/>
      <c r="D25" s="1" t="s">
        <v>466</v>
      </c>
      <c r="E25" s="1" t="s">
        <v>813</v>
      </c>
      <c r="F25" s="1" t="s">
        <v>870</v>
      </c>
    </row>
    <row r="26" spans="1:6" ht="101.5" x14ac:dyDescent="0.35">
      <c r="A26" s="1" t="s">
        <v>810</v>
      </c>
      <c r="B26" s="1" t="s">
        <v>842</v>
      </c>
      <c r="C26" s="1"/>
      <c r="D26" s="1" t="s">
        <v>461</v>
      </c>
      <c r="E26" s="1" t="s">
        <v>814</v>
      </c>
      <c r="F26" s="1" t="s">
        <v>871</v>
      </c>
    </row>
    <row r="27" spans="1:6" x14ac:dyDescent="0.35">
      <c r="A27" s="1"/>
      <c r="B27" s="1"/>
      <c r="C27" s="1"/>
      <c r="D27" s="1"/>
      <c r="E27" s="1"/>
    </row>
    <row r="28" spans="1:6" x14ac:dyDescent="0.35">
      <c r="A28" s="1"/>
      <c r="B28" s="1"/>
      <c r="C28" s="1"/>
      <c r="D28" s="1"/>
      <c r="E28" s="1"/>
    </row>
    <row r="29" spans="1:6" x14ac:dyDescent="0.35">
      <c r="A29" s="1"/>
      <c r="B29" s="1"/>
      <c r="C29" s="1"/>
      <c r="D29" s="1"/>
      <c r="E29" s="1"/>
    </row>
    <row r="30" spans="1:6" x14ac:dyDescent="0.35">
      <c r="A30" s="1"/>
      <c r="B30" s="1"/>
      <c r="C30" s="1"/>
      <c r="D30" s="1"/>
      <c r="E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output</vt:lpstr>
      <vt:lpstr>Canine transformations</vt:lpstr>
      <vt:lpstr>Sheet2</vt:lpstr>
      <vt:lpstr>All equipment</vt:lpstr>
      <vt:lpstr>Premade equipment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Ruby Leroux</dc:creator>
  <cp:lastModifiedBy>Ruby Leroux</cp:lastModifiedBy>
  <dcterms:created xsi:type="dcterms:W3CDTF">2026-03-11T17:09:27Z</dcterms:created>
  <dcterms:modified xsi:type="dcterms:W3CDTF">2026-03-25T03:15:25Z</dcterms:modified>
</cp:coreProperties>
</file>